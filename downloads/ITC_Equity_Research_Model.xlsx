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deba7fbac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3cc5b14be1f4731"/>
    <x:sheet xmlns:r="http://schemas.openxmlformats.org/officeDocument/2006/relationships" name="Forecast" sheetId="2" r:id="R604c5bcb9ee949c6"/>
    <x:sheet xmlns:r="http://schemas.openxmlformats.org/officeDocument/2006/relationships" name="DCF" sheetId="3" r:id="Rcca41dc7fa5542a2"/>
    <x:sheet xmlns:r="http://schemas.openxmlformats.org/officeDocument/2006/relationships" name="Regression" sheetId="4" r:id="R1c5fe432e7894086"/>
    <x:sheet xmlns:r="http://schemas.openxmlformats.org/officeDocument/2006/relationships" name="Sources" sheetId="5" r:id="Rfc8281124b31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%"/>
    <x:numFmt numFmtId="202" formatCode="#,##0.0;[Red](#,##0.0);-"/>
    <x:numFmt numFmtId="203" formatCode="#,##0.00;[Red](#,##0.00);-"/>
    <x:numFmt numFmtId="204" formatCode="0.00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b/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0" borderId="0" xfId="0" applyNumberFormat="1" applyFont="1" applyFill="1" applyBorder="1"/>
    <x:xf numFmtId="200" fontId="4" fillId="0" borderId="0" xfId="0" applyNumberFormat="1" applyFont="1" applyFill="1" applyBorder="1"/>
    <x:xf numFmtId="200" fontId="3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4" fontId="3" fillId="4" borderId="0" xfId="0" applyNumberFormat="1" applyFont="1" applyFill="1" applyBorder="1"/>
    <x:xf numFmtId="204" fontId="3" fillId="4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201" fontId="7" fillId="4" borderId="0" xfId="0" applyNumberFormat="1" applyFont="1" applyFill="1" applyBorder="1" applyAlignment="1">
      <x:alignment wrapText="1"/>
    </x:xf>
    <x:xf numFmtId="201" fontId="7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e15a4f7e14611" /><Relationship Type="http://schemas.openxmlformats.org/officeDocument/2006/relationships/theme" Target="/xl/theme/theme1.xml" Id="R275dfa28aed64e98" /><Relationship Type="http://schemas.openxmlformats.org/officeDocument/2006/relationships/sharedStrings" Target="/xl/sharedStrings.xml" Id="Rd70c52eaf6754b24" /><Relationship Type="http://schemas.openxmlformats.org/officeDocument/2006/relationships/worksheet" Target="/xl/worksheets/sheet1.xml" Id="Rd3cc5b14be1f4731" /><Relationship Type="http://schemas.openxmlformats.org/officeDocument/2006/relationships/worksheet" Target="/xl/worksheets/sheet2.xml" Id="R604c5bcb9ee949c6" /><Relationship Type="http://schemas.openxmlformats.org/officeDocument/2006/relationships/worksheet" Target="/xl/worksheets/sheet3.xml" Id="Rcca41dc7fa5542a2" /><Relationship Type="http://schemas.openxmlformats.org/officeDocument/2006/relationships/worksheet" Target="/xl/worksheets/sheet4.xml" Id="R1c5fe432e7894086" /><Relationship Type="http://schemas.openxmlformats.org/officeDocument/2006/relationships/worksheet" Target="/xl/worksheets/sheet5.xml" Id="Rfc8281124b3141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ITC LIMITED - EQUITY RESEARCH MODEL</x:v>
      </x:c>
      <x:c r="B1" s="3" t="str">
        <x:v>ITC LIMITED - EQUITY RESEARCH MODEL</x:v>
      </x:c>
      <x:c r="C1" s="3" t="str">
        <x:v>ITC LIMITED - EQUITY RESEARCH MODEL</x:v>
      </x:c>
      <x:c r="D1" s="3" t="str">
        <x:v>ITC LIMITED - EQUITY RESEARCH MODEL</x:v>
      </x:c>
      <x:c r="E1" s="3" t="str">
        <x:v>ITC LIMITED - EQUITY RESEARCH MODEL</x:v>
      </x:c>
      <x:c r="F1" s="3" t="str">
        <x:v>ITC LIMITED - EQUITY RESEARCH MODEL</x:v>
      </x:c>
    </x:row>
    <x:row r="3">
      <x:c r="A3" s="8" t="str">
        <x:v>Key output</x:v>
      </x:c>
      <x:c r="B3" s="8" t="str">
        <x:v>Value</x:v>
      </x:c>
    </x:row>
    <x:row r="4">
      <x:c r="A4" t="str">
        <x:v>Reference price (₹/share)</x:v>
      </x:c>
      <x:c r="B4" s="16" t="n">
        <x:v>263.5</x:v>
      </x:c>
    </x:row>
    <x:row r="5">
      <x:c r="A5" t="str">
        <x:v>Central DCF (₹/share)</x:v>
      </x:c>
      <x:c r="B5" s="17" t="n">
        <x:f>DCF!B24</x:f>
        <x:v>362.73528195282194</x:v>
      </x:c>
    </x:row>
    <x:row r="6">
      <x:c r="A6" t="str">
        <x:v>Illustrative gap</x:v>
      </x:c>
      <x:c r="B6" s="20" t="n">
        <x:f>B5/B4-1</x:f>
        <x:v>0.376604485589457</x:v>
      </x:c>
    </x:row>
    <x:row r="7">
      <x:c r="A7" t="str">
        <x:v>WACC</x:v>
      </x:c>
      <x:c r="B7" s="20" t="n">
        <x:f>DCF!B4</x:f>
        <x:v>0.095</x:v>
      </x:c>
    </x:row>
    <x:row r="8">
      <x:c r="A8" t="str">
        <x:v>Terminal growth</x:v>
      </x:c>
      <x:c r="B8" s="20" t="n">
        <x:f>DCF!B5</x:f>
        <x:v>0.045</x:v>
      </x:c>
    </x:row>
    <x:row r="9">
      <x:c r="A9" t="str">
        <x:v>FY26 revenue (₹ cr)</x:v>
      </x:c>
      <x:c r="B9" s="22" t="n">
        <x:v>89913.33</x:v>
      </x:c>
    </x:row>
    <x:row r="10">
      <x:c r="A10" t="str">
        <x:v>FY26 PAT attributable to owners (₹ cr)</x:v>
      </x:c>
      <x:c r="B10" s="22" t="n">
        <x:v>20689.47</x:v>
      </x:c>
    </x:row>
    <x:row r="12">
      <x:c r="A12" s="24" t="str">
        <x:v>Model framework</x:v>
      </x:c>
      <x:c r="B12" s="24" t="str">
        <x:v>Model framework</x:v>
      </x:c>
      <x:c r="C12" s="24" t="str">
        <x:v>Model framework</x:v>
      </x:c>
      <x:c r="D12" s="24" t="str">
        <x:v>Model framework</x:v>
      </x:c>
      <x:c r="E12" s="24" t="str">
        <x:v>Model framework</x:v>
      </x:c>
      <x:c r="F12" s="24" t="str">
        <x:v>Model framework</x:v>
      </x:c>
    </x:row>
    <x:row r="13" ht="32" customHeight="1">
      <x:c r="A13" s="26" t="str">
        <x:v>The model uses a five-year FCFF DCF anchored on FY26 consolidated actuals. Editable assumptions flow through the forecast and sensitivity analysis.</x:v>
      </x:c>
      <x:c r="B13" s="26" t="str">
        <x:v>The model uses a five-year FCFF DCF anchored on FY26 consolidated actuals. Editable assumptions flow through the forecast and sensitivity analysis.</x:v>
      </x:c>
      <x:c r="C13" s="26" t="str">
        <x:v>The model uses a five-year FCFF DCF anchored on FY26 consolidated actuals. Editable assumptions flow through the forecast and sensitivity analysis.</x:v>
      </x:c>
      <x:c r="D13" s="26" t="str">
        <x:v>The model uses a five-year FCFF DCF anchored on FY26 consolidated actuals. Editable assumptions flow through the forecast and sensitivity analysis.</x:v>
      </x:c>
      <x:c r="E13" s="26" t="str">
        <x:v>The model uses a five-year FCFF DCF anchored on FY26 consolidated actuals. Editable assumptions flow through the forecast and sensitivity analysis.</x:v>
      </x:c>
      <x:c r="F13" s="26" t="str">
        <x:v>The model uses a five-year FCFF DCF anchored on FY26 consolidated actuals. Editable assumptions flow through the forecast and sensitivity analysis.</x:v>
      </x:c>
    </x:row>
    <x:row r="14" ht="32" customHeight="1">
      <x:c r="A14" s="26" t="str">
        <x:v>The ₹263.50 reference price is the market reference used in the analysis and is not presented as a newly independently verified 9 September 2026 closing price.</x:v>
      </x:c>
      <x:c r="B14" s="26" t="str">
        <x:v>The ₹263.50 reference price is the market reference used in the analysis and is not presented as a newly independently verified 9 September 2026 closing price.</x:v>
      </x:c>
      <x:c r="C14" s="26" t="str">
        <x:v>The ₹263.50 reference price is the market reference used in the analysis and is not presented as a newly independently verified 9 September 2026 closing price.</x:v>
      </x:c>
      <x:c r="D14" s="26" t="str">
        <x:v>The ₹263.50 reference price is the market reference used in the analysis and is not presented as a newly independently verified 9 September 2026 closing price.</x:v>
      </x:c>
      <x:c r="E14" s="26" t="str">
        <x:v>The ₹263.50 reference price is the market reference used in the analysis and is not presented as a newly independently verified 9 September 2026 closing price.</x:v>
      </x:c>
      <x:c r="F14" s="26" t="str">
        <x:v>The ₹263.50 reference price is the market reference used in the analysis and is not presented as a newly independently verified 9 September 2026 closing price.</x:v>
      </x:c>
    </x:row>
    <x:row r="15" ht="32" customHeight="1">
      <x:c r="A15" s="26" t="str">
        <x:v>Regression outputs use 64 supplied monthly ITC/NIFTY returns from May 2021-August 2026. RBI policy dates follow published decisions; the supplied return series itself is not independently certified.</x:v>
      </x:c>
      <x:c r="B15" s="26" t="str">
        <x:v>Regression outputs use 64 supplied monthly ITC/NIFTY returns from May 2021-August 2026. RBI policy dates follow published decisions; the supplied return series itself is not independently certified.</x:v>
      </x:c>
      <x:c r="C15" s="26" t="str">
        <x:v>Regression outputs use 64 supplied monthly ITC/NIFTY returns from May 2021-August 2026. RBI policy dates follow published decisions; the supplied return series itself is not independently certified.</x:v>
      </x:c>
      <x:c r="D15" s="26" t="str">
        <x:v>Regression outputs use 64 supplied monthly ITC/NIFTY returns from May 2021-August 2026. RBI policy dates follow published decisions; the supplied return series itself is not independently certified.</x:v>
      </x:c>
      <x:c r="E15" s="26" t="str">
        <x:v>Regression outputs use 64 supplied monthly ITC/NIFTY returns from May 2021-August 2026. RBI policy dates follow published decisions; the supplied return series itself is not independently certified.</x:v>
      </x:c>
      <x:c r="F15" s="26" t="str">
        <x:v>Regression outputs use 64 supplied monthly ITC/NIFTY returns from May 2021-August 2026. RBI policy dates follow published decisions; the supplied return series itself is not independently certified.</x:v>
      </x:c>
    </x:row>
    <x:row r="16" ht="32" customHeight="1">
      <x:c r="A16" s="26" t="str">
        <x:v>SOTP and forward-P/E cross-checks are omitted because independently dated peer multiples and a fully sourced forward earnings bridge were not available.</x:v>
      </x:c>
      <x:c r="B16" s="26" t="str">
        <x:v>SOTP and forward-P/E cross-checks are omitted because independently dated peer multiples and a fully sourced forward earnings bridge were not available.</x:v>
      </x:c>
      <x:c r="C16" s="26" t="str">
        <x:v>SOTP and forward-P/E cross-checks are omitted because independently dated peer multiples and a fully sourced forward earnings bridge were not available.</x:v>
      </x:c>
      <x:c r="D16" s="26" t="str">
        <x:v>SOTP and forward-P/E cross-checks are omitted because independently dated peer multiples and a fully sourced forward earnings bridge were not available.</x:v>
      </x:c>
      <x:c r="E16" s="26" t="str">
        <x:v>SOTP and forward-P/E cross-checks are omitted because independently dated peer multiples and a fully sourced forward earnings bridge were not available.</x:v>
      </x:c>
      <x:c r="F16" s="26" t="str">
        <x:v>SOTP and forward-P/E cross-checks are omitted because independently dated peer multiples and a fully sourced forward earnings bridge were not available.</x:v>
      </x:c>
    </x:row>
    <x:row r="17" ht="32" customHeight="1">
      <x:c r="A17" s="26" t="str">
        <x:v>For portfolio / educational research only; not investment advice.</x:v>
      </x:c>
      <x:c r="B17" s="26" t="str">
        <x:v>For portfolio / educational research only; not investment advice.</x:v>
      </x:c>
      <x:c r="C17" s="26" t="str">
        <x:v>For portfolio / educational research only; not investment advice.</x:v>
      </x:c>
      <x:c r="D17" s="26" t="str">
        <x:v>For portfolio / educational research only; not investment advice.</x:v>
      </x:c>
      <x:c r="E17" s="26" t="str">
        <x:v>For portfolio / educational research only; not investment advice.</x:v>
      </x:c>
      <x:c r="F17" s="26" t="str">
        <x:v>For portfolio / educational research only; not investment advice.</x:v>
      </x:c>
    </x:row>
  </x:sheetData>
  <x:mergeCells>
    <x:mergeCell ref="A1:F1"/>
    <x:mergeCell ref="A12:F12"/>
    <x:mergeCell ref="A13:F13"/>
    <x:mergeCell ref="A14:F14"/>
    <x:mergeCell ref="A15:F15"/>
    <x:mergeCell ref="A16:F16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4" customHeight="1">
      <x:c r="A1" s="3" t="str">
        <x:v>HISTORICAL &amp; FORECAST</x:v>
      </x:c>
      <x:c r="B1" s="3" t="str">
        <x:v>HISTORICAL &amp; FORECAST</x:v>
      </x:c>
      <x:c r="C1" s="3" t="str">
        <x:v>HISTORICAL &amp; FORECAST</x:v>
      </x:c>
      <x:c r="D1" s="3" t="str">
        <x:v>HISTORICAL &amp; FORECAST</x:v>
      </x:c>
      <x:c r="E1" s="3" t="str">
        <x:v>HISTORICAL &amp; FORECAST</x:v>
      </x:c>
      <x:c r="F1" s="3" t="str">
        <x:v>HISTORICAL &amp; FORECAST</x:v>
      </x:c>
      <x:c r="G1" s="3" t="str">
        <x:v>HISTORICAL &amp; FORECAST</x:v>
      </x:c>
    </x:row>
    <x:row r="3">
      <x:c r="A3" s="8" t="str">
        <x:v>₹ crore</x:v>
      </x:c>
      <x:c r="B3" s="8" t="str">
        <x:v>FY26A</x:v>
      </x:c>
      <x:c r="C3" s="8" t="str">
        <x:v>FY27E</x:v>
      </x:c>
      <x:c r="D3" s="8" t="str">
        <x:v>FY28E</x:v>
      </x:c>
      <x:c r="E3" s="8" t="str">
        <x:v>FY29E</x:v>
      </x:c>
      <x:c r="F3" s="8" t="str">
        <x:v>FY30E</x:v>
      </x:c>
      <x:c r="G3" s="8" t="str">
        <x:v>FY31E</x:v>
      </x:c>
    </x:row>
    <x:row r="4">
      <x:c r="A4" t="str">
        <x:v>Revenue</x:v>
      </x:c>
      <x:c r="B4" s="22" t="n">
        <x:v>89913.33</x:v>
      </x:c>
      <x:c r="C4" s="36" t="n">
        <x:f>B4*(1+C$12)</x:f>
        <x:v>96656.82975</x:v>
      </x:c>
      <x:c r="D4" s="36" t="n">
        <x:f>C4*(1+D$12)</x:f>
        <x:v>104002.74881100001</x:v>
      </x:c>
      <x:c r="E4" s="36" t="n">
        <x:f>D4*(1+E$12)</x:f>
        <x:v>111386.94397658101</x:v>
      </x:c>
      <x:c r="F4" s="36" t="n">
        <x:f>E4*(1+F$12)</x:f>
        <x:v>118404.32144710561</x:v>
      </x:c>
      <x:c r="G4" s="36" t="n">
        <x:f>F4*(1+G$12)</x:f>
        <x:v>125390.17641248484</x:v>
      </x:c>
    </x:row>
    <x:row r="5">
      <x:c r="A5" t="str">
        <x:v>EBIT</x:v>
      </x:c>
      <x:c r="B5" s="22" t="n">
        <x:v>28033.18</x:v>
      </x:c>
      <x:c r="C5" s="36" t="n">
        <x:f>C4*C$13</x:f>
        <x:v>27063.912330000003</x:v>
      </x:c>
      <x:c r="D5" s="36" t="n">
        <x:f>D4*D$13</x:f>
        <x:v>29536.780662324</x:v>
      </x:c>
      <x:c r="E5" s="36" t="n">
        <x:f>E4*E$13</x:f>
        <x:v>32079.43986525533</x:v>
      </x:c>
      <x:c r="F5" s="36" t="n">
        <x:f>F4*F$13</x:f>
        <x:v>34574.06186255484</x:v>
      </x:c>
      <x:c r="G5" s="36" t="n">
        <x:f>G4*G$13</x:f>
        <x:v>37240.88239450799</x:v>
      </x:c>
    </x:row>
    <x:row r="6">
      <x:c r="A6" t="str">
        <x:v>Tax rate</x:v>
      </x:c>
      <x:c r="B6" s="38" t="n">
        <x:v>0.25</x:v>
      </x:c>
      <x:c r="C6" s="38" t="n">
        <x:v>0.25</x:v>
      </x:c>
      <x:c r="D6" s="38" t="n">
        <x:v>0.25</x:v>
      </x:c>
      <x:c r="E6" s="38" t="n">
        <x:v>0.25</x:v>
      </x:c>
      <x:c r="F6" s="38" t="n">
        <x:v>0.25</x:v>
      </x:c>
      <x:c r="G6" s="38" t="n">
        <x:v>0.25</x:v>
      </x:c>
    </x:row>
    <x:row r="7">
      <x:c r="A7" t="str">
        <x:v>NOPAT</x:v>
      </x:c>
      <x:c r="B7" s="22" t="n">
        <x:v>21024.885</x:v>
      </x:c>
      <x:c r="C7" s="36" t="n">
        <x:f>C5*(1-C6)</x:f>
        <x:v>20297.9342475</x:v>
      </x:c>
      <x:c r="D7" s="36" t="n">
        <x:f>D5*(1-D6)</x:f>
        <x:v>22152.585496743</x:v>
      </x:c>
      <x:c r="E7" s="36" t="n">
        <x:f>E5*(1-E6)</x:f>
        <x:v>24059.579898941498</x:v>
      </x:c>
      <x:c r="F7" s="36" t="n">
        <x:f>F5*(1-F6)</x:f>
        <x:v>25930.54639691613</x:v>
      </x:c>
      <x:c r="G7" s="36" t="n">
        <x:f>G5*(1-G6)</x:f>
        <x:v>27930.661795880995</x:v>
      </x:c>
    </x:row>
    <x:row r="8">
      <x:c r="A8" t="str">
        <x:v>D&amp;A</x:v>
      </x:c>
      <x:c r="B8" s="22" t="n">
        <x:v>1710.53</x:v>
      </x:c>
      <x:c r="C8" s="36" t="n">
        <x:f>C4*C$14</x:f>
        <x:v>1836.4797652500001</x:v>
      </x:c>
      <x:c r="D8" s="36" t="n">
        <x:f>D4*D$14</x:f>
        <x:v>1976.0522274090001</x:v>
      </x:c>
      <x:c r="E8" s="36" t="n">
        <x:f>E4*E$14</x:f>
        <x:v>2116.3519355550393</x:v>
      </x:c>
      <x:c r="F8" s="36" t="n">
        <x:f>F4*F$14</x:f>
        <x:v>2249.6821074950067</x:v>
      </x:c>
      <x:c r="G8" s="36" t="n">
        <x:f>G4*G$14</x:f>
        <x:v>2382.413351837212</x:v>
      </x:c>
    </x:row>
    <x:row r="9">
      <x:c r="A9" t="str">
        <x:v>Capex</x:v>
      </x:c>
      <x:c r="B9" s="22" t="n">
        <x:v>2182.89</x:v>
      </x:c>
      <x:c r="C9" s="36" t="n">
        <x:f>C4*C$15</x:f>
        <x:v>2513.0775735</x:v>
      </x:c>
      <x:c r="D9" s="36" t="n">
        <x:f>D4*D$15</x:f>
        <x:v>2704.071469086</x:v>
      </x:c>
      <x:c r="E9" s="36" t="n">
        <x:f>E4*E$15</x:f>
        <x:v>2896.060543391106</x:v>
      </x:c>
      <x:c r="F9" s="36" t="n">
        <x:f>F4*F$15</x:f>
        <x:v>3078.5123576247456</x:v>
      </x:c>
      <x:c r="G9" s="36" t="n">
        <x:f>G4*G$15</x:f>
        <x:v>3260.1445867246057</x:v>
      </x:c>
    </x:row>
    <x:row r="10">
      <x:c r="A10" t="str">
        <x:v>NWC</x:v>
      </x:c>
      <x:c r="B10" s="22" t="n">
        <x:v>16906.27</x:v>
      </x:c>
      <x:c r="C10" s="36" t="n">
        <x:f>C4*C$16</x:f>
        <x:v>18074.82716325</x:v>
      </x:c>
      <x:c r="D10" s="36" t="n">
        <x:f>D4*D$16</x:f>
        <x:v>19240.508530035004</x:v>
      </x:c>
      <x:c r="E10" s="36" t="n">
        <x:f>E4*E$16</x:f>
        <x:v>20383.810747714324</x:v>
      </x:c>
      <x:c r="F10" s="36" t="n">
        <x:f>F4*F$16</x:f>
        <x:v>21431.182181926117</x:v>
      </x:c>
      <x:c r="G10" s="36" t="n">
        <x:f>G4*G$16</x:f>
        <x:v>22570.23175424727</x:v>
      </x:c>
    </x:row>
    <x:row r="12">
      <x:c r="A12" t="str">
        <x:v>Revenue growth</x:v>
      </x:c>
      <x:c r="C12" s="32" t="n">
        <x:v>0.075</x:v>
      </x:c>
      <x:c r="D12" s="32" t="n">
        <x:v>0.076</x:v>
      </x:c>
      <x:c r="E12" s="32" t="n">
        <x:v>0.071</x:v>
      </x:c>
      <x:c r="F12" s="32" t="n">
        <x:v>0.063</x:v>
      </x:c>
      <x:c r="G12" s="32" t="n">
        <x:v>0.059</x:v>
      </x:c>
    </x:row>
    <x:row r="13">
      <x:c r="A13" t="str">
        <x:v>EBIT margin</x:v>
      </x:c>
      <x:c r="C13" s="32" t="n">
        <x:v>0.28</x:v>
      </x:c>
      <x:c r="D13" s="32" t="n">
        <x:v>0.284</x:v>
      </x:c>
      <x:c r="E13" s="32" t="n">
        <x:v>0.288</x:v>
      </x:c>
      <x:c r="F13" s="32" t="n">
        <x:v>0.292</x:v>
      </x:c>
      <x:c r="G13" s="32" t="n">
        <x:v>0.297</x:v>
      </x:c>
    </x:row>
    <x:row r="14">
      <x:c r="A14" t="str">
        <x:v>D&amp;A / revenue</x:v>
      </x:c>
      <x:c r="C14" s="32" t="n">
        <x:v>0.019</x:v>
      </x:c>
      <x:c r="D14" s="32" t="n">
        <x:v>0.019</x:v>
      </x:c>
      <x:c r="E14" s="32" t="n">
        <x:v>0.019</x:v>
      </x:c>
      <x:c r="F14" s="32" t="n">
        <x:v>0.019</x:v>
      </x:c>
      <x:c r="G14" s="32" t="n">
        <x:v>0.019</x:v>
      </x:c>
    </x:row>
    <x:row r="15">
      <x:c r="A15" t="str">
        <x:v>Capex / revenue</x:v>
      </x:c>
      <x:c r="C15" s="32" t="n">
        <x:v>0.026</x:v>
      </x:c>
      <x:c r="D15" s="32" t="n">
        <x:v>0.026</x:v>
      </x:c>
      <x:c r="E15" s="32" t="n">
        <x:v>0.026</x:v>
      </x:c>
      <x:c r="F15" s="32" t="n">
        <x:v>0.026</x:v>
      </x:c>
      <x:c r="G15" s="32" t="n">
        <x:v>0.026</x:v>
      </x:c>
    </x:row>
    <x:row r="16">
      <x:c r="A16" t="str">
        <x:v>NWC / revenue</x:v>
      </x:c>
      <x:c r="C16" s="32" t="n">
        <x:v>0.187</x:v>
      </x:c>
      <x:c r="D16" s="32" t="n">
        <x:v>0.185</x:v>
      </x:c>
      <x:c r="E16" s="32" t="n">
        <x:v>0.183</x:v>
      </x:c>
      <x:c r="F16" s="32" t="n">
        <x:v>0.181</x:v>
      </x:c>
      <x:c r="G16" s="32" t="n">
        <x:v>0.18</x:v>
      </x:c>
    </x:row>
    <x:row r="18">
      <x:c r="A18" s="24" t="str">
        <x:v>FCFF</x:v>
      </x:c>
      <x:c r="B18" s="24" t="str">
        <x:v>FCFF</x:v>
      </x:c>
      <x:c r="C18" s="24" t="str">
        <x:v>FCFF</x:v>
      </x:c>
      <x:c r="D18" s="24" t="str">
        <x:v>FCFF</x:v>
      </x:c>
      <x:c r="E18" s="24" t="str">
        <x:v>FCFF</x:v>
      </x:c>
      <x:c r="F18" s="24" t="str">
        <x:v>FCFF</x:v>
      </x:c>
      <x:c r="G18" s="24" t="str">
        <x:v>FCFF</x:v>
      </x:c>
    </x:row>
    <x:row r="19">
      <x:c r="A19" t="str">
        <x:v>Change in NWC</x:v>
      </x:c>
      <x:c r="C19" s="36" t="n">
        <x:f>C10-B10</x:f>
        <x:v>1168.5571632499996</x:v>
      </x:c>
      <x:c r="D19" s="36" t="n">
        <x:f>D10-C10</x:f>
        <x:v>1165.6813667850038</x:v>
      </x:c>
      <x:c r="E19" s="36" t="n">
        <x:f>E10-D10</x:f>
        <x:v>1143.3022176793202</x:v>
      </x:c>
      <x:c r="F19" s="36" t="n">
        <x:f>F10-E10</x:f>
        <x:v>1047.3714342117928</x:v>
      </x:c>
      <x:c r="G19" s="36" t="n">
        <x:f>G10-F10</x:f>
        <x:v>1139.0495723211534</x:v>
      </x:c>
    </x:row>
    <x:row r="20">
      <x:c r="A20" t="str">
        <x:v>FCFF</x:v>
      </x:c>
      <x:c r="C20" s="36" t="n">
        <x:f>C7+C8-C9-C19</x:f>
        <x:v>18452.779276</x:v>
      </x:c>
      <x:c r="D20" s="36" t="n">
        <x:f>D7+D8-D9-D19</x:f>
        <x:v>20258.884888280994</x:v>
      </x:c>
      <x:c r="E20" s="36" t="n">
        <x:f>E7+E8-E9-E19</x:f>
        <x:v>22136.56907342611</x:v>
      </x:c>
      <x:c r="F20" s="36" t="n">
        <x:f>F7+F8-F9-F19</x:f>
        <x:v>24054.344712574595</x:v>
      </x:c>
      <x:c r="G20" s="36" t="n">
        <x:f>G7+G8-G9-G19</x:f>
        <x:v>25913.880988672445</x:v>
      </x:c>
    </x:row>
    <x:row r="21">
      <x:c r="A21" t="str">
        <x:v>FCFF growth</x:v>
      </x:c>
      <x:c r="C21" s="34"/>
      <x:c r="D21" s="40" t="n">
        <x:f>D20/C20-1</x:f>
        <x:v>0.09787715905918004</x:v>
      </x:c>
      <x:c r="E21" s="40" t="n">
        <x:f>E20/D20-1</x:f>
        <x:v>0.09268447871142627</x:v>
      </x:c>
      <x:c r="F21" s="40" t="n">
        <x:f>F20/E20-1</x:f>
        <x:v>0.0866338244552396</x:v>
      </x:c>
      <x:c r="G21" s="40" t="n">
        <x:f>G20/F20-1</x:f>
        <x:v>0.07730563016026637</x:v>
      </x:c>
    </x:row>
    <x:row r="23">
      <x:c r="A23" s="24" t="str">
        <x:v>FY26 balance-sheet inputs</x:v>
      </x:c>
      <x:c r="B23" s="24" t="str">
        <x:v>FY26 balance-sheet inputs</x:v>
      </x:c>
      <x:c r="C23" s="24" t="str">
        <x:v>FY26 balance-sheet inputs</x:v>
      </x:c>
    </x:row>
    <x:row r="24">
      <x:c r="A24" t="str">
        <x:v>Inventory</x:v>
      </x:c>
      <x:c r="B24" s="42" t="n">
        <x:v>18622.96</x:v>
      </x:c>
    </x:row>
    <x:row r="25">
      <x:c r="A25" t="str">
        <x:v>Trade receivables</x:v>
      </x:c>
      <x:c r="B25" s="42" t="n">
        <x:v>3922.86</x:v>
      </x:c>
    </x:row>
    <x:row r="26">
      <x:c r="A26" t="str">
        <x:v>Trade payables</x:v>
      </x:c>
      <x:c r="B26" s="42" t="n">
        <x:v>5639.55</x:v>
      </x:c>
    </x:row>
    <x:row r="27">
      <x:c r="A27" t="str">
        <x:v>Net working capital</x:v>
      </x:c>
      <x:c r="B27" s="42" t="n">
        <x:v>16906.27</x:v>
      </x:c>
    </x:row>
  </x:sheetData>
  <x:mergeCells>
    <x:mergeCell ref="A1:G1"/>
    <x:mergeCell ref="A18:G18"/>
    <x:mergeCell ref="A23:C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4" customHeight="1">
      <x:c r="A1" s="3" t="str">
        <x:v>FCFF DCF VALUATION</x:v>
      </x:c>
      <x:c r="B1" s="3" t="str">
        <x:v>FCFF DCF VALUATION</x:v>
      </x:c>
      <x:c r="C1" s="3" t="str">
        <x:v>FCFF DCF VALUATION</x:v>
      </x:c>
      <x:c r="D1" s="3" t="str">
        <x:v>FCFF DCF VALUATION</x:v>
      </x:c>
      <x:c r="E1" s="3" t="str">
        <x:v>FCFF DCF VALUATION</x:v>
      </x:c>
      <x:c r="F1" s="3" t="str">
        <x:v>FCFF DCF VALUATION</x:v>
      </x:c>
    </x:row>
    <x:row r="3">
      <x:c r="A3" s="8" t="str">
        <x:v>Assumption</x:v>
      </x:c>
      <x:c r="B3" s="8" t="str">
        <x:v>Value</x:v>
      </x:c>
    </x:row>
    <x:row r="4">
      <x:c r="A4" t="str">
        <x:v>WACC</x:v>
      </x:c>
      <x:c r="B4" s="32" t="n">
        <x:v>0.095</x:v>
      </x:c>
    </x:row>
    <x:row r="5">
      <x:c r="A5" t="str">
        <x:v>Terminal growth</x:v>
      </x:c>
      <x:c r="B5" s="32" t="n">
        <x:v>0.045</x:v>
      </x:c>
    </x:row>
    <x:row r="6">
      <x:c r="A6" t="str">
        <x:v>Reference price (₹/share)</x:v>
      </x:c>
      <x:c r="B6" s="44" t="n">
        <x:v>263.5</x:v>
      </x:c>
    </x:row>
    <x:row r="7">
      <x:c r="A7" t="str">
        <x:v>Shares outstanding (crore)</x:v>
      </x:c>
      <x:c r="B7" s="44" t="n">
        <x:v>1252.95</x:v>
      </x:c>
    </x:row>
    <x:row r="8">
      <x:c r="A8" t="str">
        <x:v>Valuation adjustments (₹ cr)</x:v>
      </x:c>
      <x:c r="B8" s="46" t="n">
        <x:v>26648.61</x:v>
      </x:c>
    </x:row>
    <x:row r="10">
      <x:c r="A10" s="24" t="str">
        <x:v>Discounted cash flow</x:v>
      </x:c>
      <x:c r="B10" s="24" t="str">
        <x:v>Discounted cash flow</x:v>
      </x:c>
      <x:c r="C10" s="24" t="str">
        <x:v>Discounted cash flow</x:v>
      </x:c>
      <x:c r="D10" s="24" t="str">
        <x:v>Discounted cash flow</x:v>
      </x:c>
      <x:c r="E10" s="24" t="str">
        <x:v>Discounted cash flow</x:v>
      </x:c>
      <x:c r="F10" s="24" t="str">
        <x:v>Discounted cash flow</x:v>
      </x:c>
    </x:row>
    <x:row r="11">
      <x:c r="A11" s="8" t="str"/>
      <x:c r="B11" s="8" t="str">
        <x:v>FY27E</x:v>
      </x:c>
      <x:c r="C11" s="8" t="str">
        <x:v>FY28E</x:v>
      </x:c>
      <x:c r="D11" s="8" t="str">
        <x:v>FY29E</x:v>
      </x:c>
      <x:c r="E11" s="8" t="str">
        <x:v>FY30E</x:v>
      </x:c>
      <x:c r="F11" s="8" t="str">
        <x:v>FY31E</x:v>
      </x:c>
    </x:row>
    <x:row r="12">
      <x:c r="A12" t="str">
        <x:v>FCFF</x:v>
      </x:c>
      <x:c r="B12" s="48" t="n">
        <x:f>Forecast!C20</x:f>
        <x:v>18452.779276</x:v>
      </x:c>
      <x:c r="C12" s="48" t="n">
        <x:f>Forecast!D20</x:f>
        <x:v>20258.884888280994</x:v>
      </x:c>
      <x:c r="D12" s="48" t="n">
        <x:f>Forecast!E20</x:f>
        <x:v>22136.56907342611</x:v>
      </x:c>
      <x:c r="E12" s="48" t="n">
        <x:f>Forecast!F20</x:f>
        <x:v>24054.344712574595</x:v>
      </x:c>
      <x:c r="F12" s="48" t="n">
        <x:f>Forecast!G20</x:f>
        <x:v>25913.880988672445</x:v>
      </x:c>
    </x:row>
    <x:row r="13">
      <x:c r="A13" t="str">
        <x:v>Discount factor</x:v>
      </x:c>
      <x:c r="B13" s="36" t="n">
        <x:f>1/(1+$B$4)^1</x:f>
        <x:v>0.9132420091324202</x:v>
      </x:c>
      <x:c r="C13" s="36" t="n">
        <x:f>1/(1+$B$4)^2</x:f>
        <x:v>0.8340109672442193</x:v>
      </x:c>
      <x:c r="D13" s="36" t="n">
        <x:f>1/(1+$B$4)^3</x:f>
        <x:v>0.7616538513645839</x:v>
      </x:c>
      <x:c r="E13" s="36" t="n">
        <x:f>1/(1+$B$4)^4</x:f>
        <x:v>0.6955742934836382</x:v>
      </x:c>
      <x:c r="F13" s="36" t="n">
        <x:f>1/(1+$B$4)^5</x:f>
        <x:v>0.6352276652818614</x:v>
      </x:c>
    </x:row>
    <x:row r="14">
      <x:c r="A14" t="str">
        <x:v>PV of FCFF</x:v>
      </x:c>
      <x:c r="B14" s="36" t="n">
        <x:f>B12*B13</x:f>
        <x:v>16851.853220091325</x:v>
      </x:c>
      <x:c r="C14" s="36" t="n">
        <x:f>C12*C13</x:f>
        <x:v>16896.13218096453</x:v>
      </x:c>
      <x:c r="D14" s="36" t="n">
        <x:f>D12*D13</x:f>
        <x:v>16860.403090773136</x:v>
      </x:c>
      <x:c r="E14" s="36" t="n">
        <x:f>E12*E13</x:f>
        <x:v>16731.58382866096</x:v>
      </x:c>
      <x:c r="F14" s="36" t="n">
        <x:f>F12*F13</x:f>
        <x:v>16461.21411882641</x:v>
      </x:c>
    </x:row>
    <x:row r="16">
      <x:c r="A16" s="24" t="str">
        <x:v>Valuation summary</x:v>
      </x:c>
      <x:c r="B16" s="24" t="str">
        <x:v>Valuation summary</x:v>
      </x:c>
      <x:c r="C16" s="24" t="str">
        <x:v>Valuation summary</x:v>
      </x:c>
    </x:row>
    <x:row r="17">
      <x:c r="A17" t="str">
        <x:v>PV of explicit FCFF</x:v>
      </x:c>
      <x:c r="B17" s="36" t="n">
        <x:f>SUM(B14:F14)</x:f>
        <x:v>83801.18643931636</x:v>
      </x:c>
    </x:row>
    <x:row r="18">
      <x:c r="A18" t="str">
        <x:v>Terminal value</x:v>
      </x:c>
      <x:c r="B18" s="36" t="n">
        <x:f>F12*(1+$B$5)/($B$4-$B$5)</x:f>
        <x:v>541600.112663254</x:v>
      </x:c>
    </x:row>
    <x:row r="19">
      <x:c r="A19" t="str">
        <x:v>PV of terminal value</x:v>
      </x:c>
      <x:c r="B19" s="36" t="n">
        <x:f>B18*F13</x:f>
        <x:v>344039.37508347194</x:v>
      </x:c>
    </x:row>
    <x:row r="20">
      <x:c r="A20" t="str">
        <x:v>Enterprise value</x:v>
      </x:c>
      <x:c r="B20" s="36" t="n">
        <x:f>SUM(B17,B19)</x:f>
        <x:v>427840.5615227883</x:v>
      </x:c>
    </x:row>
    <x:row r="21">
      <x:c r="A21" t="str">
        <x:v>Valuation adjustments</x:v>
      </x:c>
      <x:c r="B21" s="36" t="n">
        <x:f>$B$8</x:f>
        <x:v>26648.61</x:v>
      </x:c>
    </x:row>
    <x:row r="22">
      <x:c r="A22" t="str">
        <x:v>Equity value</x:v>
      </x:c>
      <x:c r="B22" s="36" t="n">
        <x:f>SUM(B20:B21)</x:f>
        <x:v>454489.1715227883</x:v>
      </x:c>
    </x:row>
    <x:row r="23">
      <x:c r="A23" t="str">
        <x:v>Value per share</x:v>
      </x:c>
      <x:c r="B23" s="50" t="n">
        <x:f>B22/$B$7</x:f>
        <x:v>362.73528195282194</x:v>
      </x:c>
    </x:row>
    <x:row r="24">
      <x:c r="A24" t="str">
        <x:v>Illustrative gap</x:v>
      </x:c>
      <x:c r="B24" s="50" t="n">
        <x:f>B23</x:f>
        <x:v>362.73528195282194</x:v>
      </x:c>
    </x:row>
    <x:row r="25">
      <x:c r="A25" t="str">
        <x:v>Status</x:v>
      </x:c>
      <x:c r="B25" t="str">
        <x:v>Illustrative DCF scenario; not a price target or investment recommendation</x:v>
      </x:c>
    </x:row>
    <x:row r="27">
      <x:c r="A27" s="24" t="str">
        <x:v>WACC / terminal-growth sensitivity</x:v>
      </x:c>
      <x:c r="B27" s="24" t="str">
        <x:v>WACC / terminal-growth sensitivity</x:v>
      </x:c>
      <x:c r="C27" s="24" t="str">
        <x:v>WACC / terminal-growth sensitivity</x:v>
      </x:c>
      <x:c r="D27" s="24" t="str">
        <x:v>WACC / terminal-growth sensitivity</x:v>
      </x:c>
      <x:c r="E27" s="24" t="str">
        <x:v>WACC / terminal-growth sensitivity</x:v>
      </x:c>
      <x:c r="F27" s="24" t="str">
        <x:v>WACC / terminal-growth sensitivity</x:v>
      </x:c>
    </x:row>
    <x:row r="28">
      <x:c r="A28" s="8" t="str">
        <x:v>WACC \ TG</x:v>
      </x:c>
      <x:c r="B28" s="56" t="n">
        <x:v>0.035</x:v>
      </x:c>
      <x:c r="C28" s="56" t="n">
        <x:v>0.04</x:v>
      </x:c>
      <x:c r="D28" s="56" t="n">
        <x:v>0.045</x:v>
      </x:c>
      <x:c r="E28" s="56" t="n">
        <x:v>0.05</x:v>
      </x:c>
      <x:c r="F28" s="56" t="n">
        <x:v>0.055</x:v>
      </x:c>
    </x:row>
    <x:row r="29">
      <x:c r="A29" s="32" t="n">
        <x:v>0.085</x:v>
      </x:c>
      <x:c r="B29" s="50" t="n">
        <x:f>(SUM(Forecast!C20/(1+$A29)^1,Forecast!D20/(1+$A29)^2,Forecast!E20/(1+$A29)^3,Forecast!F20/(1+$A29)^4,Forecast!G20/(1+$A29)^5)+(Forecast!G20*(1+B$28)/($A29-B$28))/(1+$A29)^5+$B$8)/$B$7</x:f>
        <x:v>374.7384133615007</x:v>
      </x:c>
      <x:c r="C29" s="50" t="n">
        <x:f>(SUM(Forecast!C20/(1+$A29)^1,Forecast!D20/(1+$A29)^2,Forecast!E20/(1+$A29)^3,Forecast!F20/(1+$A29)^4,Forecast!G20/(1+$A29)^5)+(Forecast!G20*(1+C$28)/($A29-C$28))/(1+$A29)^5+$B$8)/$B$7</x:f>
        <x:v>407.90243981818514</x:v>
      </x:c>
      <x:c r="D29" s="50" t="n">
        <x:f>(SUM(Forecast!C20/(1+$A29)^1,Forecast!D20/(1+$A29)^2,Forecast!E20/(1+$A29)^3,Forecast!F20/(1+$A29)^4,Forecast!G20/(1+$A29)^5)+(Forecast!G20*(1+D$28)/($A29-D$28))/(1+$A29)^5+$B$8)/$B$7</x:f>
        <x:v>449.3574728890406</x:v>
      </x:c>
      <x:c r="E29" s="50" t="n">
        <x:f>(SUM(Forecast!C20/(1+$A29)^1,Forecast!D20/(1+$A29)^2,Forecast!E20/(1+$A29)^3,Forecast!F20/(1+$A29)^4,Forecast!G20/(1+$A29)^5)+(Forecast!G20*(1+E$28)/($A29-E$28))/(1+$A29)^5+$B$8)/$B$7</x:f>
        <x:v>502.65680112299776</x:v>
      </x:c>
      <x:c r="F29" s="50" t="n">
        <x:f>(SUM(Forecast!C20/(1+$A29)^1,Forecast!D20/(1+$A29)^2,Forecast!E20/(1+$A29)^3,Forecast!F20/(1+$A29)^4,Forecast!G20/(1+$A29)^5)+(Forecast!G20*(1+F$28)/($A29-F$28))/(1+$A29)^5+$B$8)/$B$7</x:f>
        <x:v>573.7225721016073</x:v>
      </x:c>
    </x:row>
    <x:row r="30">
      <x:c r="A30" s="32" t="n">
        <x:v>0.09</x:v>
      </x:c>
      <x:c r="B30" s="50" t="n">
        <x:f>(SUM(Forecast!C20/(1+$A30)^1,Forecast!D20/(1+$A30)^2,Forecast!E20/(1+$A30)^3,Forecast!F20/(1+$A30)^4,Forecast!G20/(1+$A30)^5)+(Forecast!G20*(1+B$28)/($A30-B$28))/(1+$A30)^5+$B$8)/$B$7</x:f>
        <x:v>342.0297108311686</x:v>
      </x:c>
      <x:c r="C30" s="50" t="n">
        <x:f>(SUM(Forecast!C20/(1+$A30)^1,Forecast!D20/(1+$A30)^2,Forecast!E20/(1+$A30)^3,Forecast!F20/(1+$A30)^4,Forecast!G20/(1+$A30)^5)+(Forecast!G20*(1+C$28)/($A30-C$28))/(1+$A30)^5+$B$8)/$B$7</x:f>
        <x:v>368.66945428595153</x:v>
      </x:c>
      <x:c r="D30" s="50" t="n">
        <x:f>(SUM(Forecast!C20/(1+$A30)^1,Forecast!D20/(1+$A30)^2,Forecast!E20/(1+$A30)^3,Forecast!F20/(1+$A30)^4,Forecast!G20/(1+$A30)^5)+(Forecast!G20*(1+D$28)/($A30-D$28))/(1+$A30)^5+$B$8)/$B$7</x:f>
        <x:v>401.2291407306862</x:v>
      </x:c>
      <x:c r="E30" s="50" t="n">
        <x:f>(SUM(Forecast!C20/(1+$A30)^1,Forecast!D20/(1+$A30)^2,Forecast!E20/(1+$A30)^3,Forecast!F20/(1+$A30)^4,Forecast!G20/(1+$A30)^5)+(Forecast!G20*(1+E$28)/($A30-E$28))/(1+$A30)^5+$B$8)/$B$7</x:f>
        <x:v>441.9287487866047</x:v>
      </x:c>
      <x:c r="F30" s="50" t="n">
        <x:f>(SUM(Forecast!C20/(1+$A30)^1,Forecast!D20/(1+$A30)^2,Forecast!E20/(1+$A30)^3,Forecast!F20/(1+$A30)^4,Forecast!G20/(1+$A30)^5)+(Forecast!G20*(1+F$28)/($A30-F$28))/(1+$A30)^5+$B$8)/$B$7</x:f>
        <x:v>494.2568162870711</x:v>
      </x:c>
    </x:row>
    <x:row r="31">
      <x:c r="A31" s="32" t="n">
        <x:v>0.095</x:v>
      </x:c>
      <x:c r="B31" s="50" t="n">
        <x:f>(SUM(Forecast!C20/(1+$A31)^1,Forecast!D20/(1+$A31)^2,Forecast!E20/(1+$A31)^3,Forecast!F20/(1+$A31)^4,Forecast!G20/(1+$A31)^5)+(Forecast!G20*(1+B$28)/($A31-B$28))/(1+$A31)^5+$B$8)/$B$7</x:f>
        <x:v>314.78170716235434</x:v>
      </x:c>
      <x:c r="C31" s="50" t="n">
        <x:f>(SUM(Forecast!C20/(1+$A31)^1,Forecast!D20/(1+$A31)^2,Forecast!E20/(1+$A31)^3,Forecast!F20/(1+$A31)^4,Forecast!G20/(1+$A31)^5)+(Forecast!G20*(1+C$28)/($A31-C$28))/(1+$A31)^5+$B$8)/$B$7</x:f>
        <x:v>336.57878661256694</x:v>
      </x:c>
      <x:c r="D31" s="50" t="n">
        <x:f>(SUM(Forecast!C20/(1+$A31)^1,Forecast!D20/(1+$A31)^2,Forecast!E20/(1+$A31)^3,Forecast!F20/(1+$A31)^4,Forecast!G20/(1+$A31)^5)+(Forecast!G20*(1+D$28)/($A31-D$28))/(1+$A31)^5+$B$8)/$B$7</x:f>
        <x:v>362.73528195282194</x:v>
      </x:c>
      <x:c r="E31" s="50" t="n">
        <x:f>(SUM(Forecast!C20/(1+$A31)^1,Forecast!D20/(1+$A31)^2,Forecast!E20/(1+$A31)^3,Forecast!F20/(1+$A31)^4,Forecast!G20/(1+$A31)^5)+(Forecast!G20*(1+E$28)/($A31-E$28))/(1+$A31)^5+$B$8)/$B$7</x:f>
        <x:v>394.70433181313376</x:v>
      </x:c>
      <x:c r="F31" s="50" t="n">
        <x:f>(SUM(Forecast!C20/(1+$A31)^1,Forecast!D20/(1+$A31)^2,Forecast!E20/(1+$A31)^3,Forecast!F20/(1+$A31)^4,Forecast!G20/(1+$A31)^5)+(Forecast!G20*(1+F$28)/($A31-F$28))/(1+$A31)^5+$B$8)/$B$7</x:f>
        <x:v>434.6656441385234</x:v>
      </x:c>
    </x:row>
    <x:row r="32">
      <x:c r="A32" s="32" t="n">
        <x:v>0.1</x:v>
      </x:c>
      <x:c r="B32" s="50" t="n">
        <x:f>(SUM(Forecast!C20/(1+$A32)^1,Forecast!D20/(1+$A32)^2,Forecast!E20/(1+$A32)^3,Forecast!F20/(1+$A32)^4,Forecast!G20/(1+$A32)^5)+(Forecast!G20*(1+B$28)/($A32-B$28))/(1+$A32)^5+$B$8)/$B$7</x:f>
        <x:v>291.73404309109856</x:v>
      </x:c>
      <x:c r="C32" s="50" t="n">
        <x:f>(SUM(Forecast!C20/(1+$A32)^1,Forecast!D20/(1+$A32)^2,Forecast!E20/(1+$A32)^3,Forecast!F20/(1+$A32)^4,Forecast!G20/(1+$A32)^5)+(Forecast!G20*(1+C$28)/($A32-C$28))/(1+$A32)^5+$B$8)/$B$7</x:f>
        <x:v>309.84466550527026</x:v>
      </x:c>
      <x:c r="D32" s="50" t="n">
        <x:f>(SUM(Forecast!C20/(1+$A32)^1,Forecast!D20/(1+$A32)^2,Forecast!E20/(1+$A32)^3,Forecast!F20/(1+$A32)^4,Forecast!G20/(1+$A32)^5)+(Forecast!G20*(1+D$28)/($A32-D$28))/(1+$A32)^5+$B$8)/$B$7</x:f>
        <x:v>331.2481283583822</x:v>
      </x:c>
      <x:c r="E32" s="50" t="n">
        <x:f>(SUM(Forecast!C20/(1+$A32)^1,Forecast!D20/(1+$A32)^2,Forecast!E20/(1+$A32)^3,Forecast!F20/(1+$A32)^4,Forecast!G20/(1+$A32)^5)+(Forecast!G20*(1+E$28)/($A32-E$28))/(1+$A32)^5+$B$8)/$B$7</x:f>
        <x:v>356.93228378211654</x:v>
      </x:c>
      <x:c r="F32" s="50" t="n">
        <x:f>(SUM(Forecast!C20/(1+$A32)^1,Forecast!D20/(1+$A32)^2,Forecast!E20/(1+$A32)^3,Forecast!F20/(1+$A32)^4,Forecast!G20/(1+$A32)^5)+(Forecast!G20*(1+F$28)/($A32-F$28))/(1+$A32)^5+$B$8)/$B$7</x:f>
        <x:v>388.324029300014</x:v>
      </x:c>
    </x:row>
    <x:row r="33">
      <x:c r="A33" s="32" t="n">
        <x:v>0.105</x:v>
      </x:c>
      <x:c r="B33" s="50" t="n">
        <x:f>(SUM(Forecast!C20/(1+$A33)^1,Forecast!D20/(1+$A33)^2,Forecast!E20/(1+$A33)^3,Forecast!F20/(1+$A33)^4,Forecast!G20/(1+$A33)^5)+(Forecast!G20*(1+B$28)/($A33-B$28))/(1+$A33)^5+$B$8)/$B$7</x:f>
        <x:v>271.9864672078217</x:v>
      </x:c>
      <x:c r="C33" s="50" t="n">
        <x:f>(SUM(Forecast!C20/(1+$A33)^1,Forecast!D20/(1+$A33)^2,Forecast!E20/(1+$A33)^3,Forecast!F20/(1+$A33)^4,Forecast!G20/(1+$A33)^5)+(Forecast!G20*(1+C$28)/($A33-C$28))/(1+$A33)^5+$B$8)/$B$7</x:f>
        <x:v>287.23079276733677</x:v>
      </x:c>
      <x:c r="D33" s="50" t="n">
        <x:f>(SUM(Forecast!C20/(1+$A33)^1,Forecast!D20/(1+$A33)^2,Forecast!E20/(1+$A33)^3,Forecast!F20/(1+$A33)^4,Forecast!G20/(1+$A33)^5)+(Forecast!G20*(1+D$28)/($A33-D$28))/(1+$A33)^5+$B$8)/$B$7</x:f>
        <x:v>305.01583925343755</x:v>
      </x:c>
      <x:c r="E33" s="50" t="n">
        <x:f>(SUM(Forecast!C20/(1+$A33)^1,Forecast!D20/(1+$A33)^2,Forecast!E20/(1+$A33)^3,Forecast!F20/(1+$A33)^4,Forecast!G20/(1+$A33)^5)+(Forecast!G20*(1+E$28)/($A33-E$28))/(1+$A33)^5+$B$8)/$B$7</x:f>
        <x:v>326.03453055519316</x:v>
      </x:c>
      <x:c r="F33" s="50" t="n">
        <x:f>(SUM(Forecast!C20/(1+$A33)^1,Forecast!D20/(1+$A33)^2,Forecast!E20/(1+$A33)^3,Forecast!F20/(1+$A33)^4,Forecast!G20/(1+$A33)^5)+(Forecast!G20*(1+F$28)/($A33-F$28))/(1+$A33)^5+$B$8)/$B$7</x:f>
        <x:v>351.2569601172998</x:v>
      </x:c>
    </x:row>
  </x:sheetData>
  <x:mergeCells>
    <x:mergeCell ref="A1:F1"/>
    <x:mergeCell ref="A10:F10"/>
    <x:mergeCell ref="A16:C16"/>
    <x:mergeCell ref="A27:F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23" hidden="0" customWidth="1"/>
  </x:cols>
  <x:sheetData>
    <x:row r="1" ht="24" customHeight="1">
      <x:c r="A1" s="3" t="str">
        <x:v>EXPLORATORY REGRESSION</x:v>
      </x:c>
      <x:c r="B1" s="3" t="str">
        <x:v>EXPLORATORY REGRESSION</x:v>
      </x:c>
      <x:c r="C1" s="3" t="str">
        <x:v>EXPLORATORY REGRESSION</x:v>
      </x:c>
      <x:c r="D1" s="3" t="str">
        <x:v>EXPLORATORY REGRESSION</x:v>
      </x:c>
    </x:row>
    <x:row r="3">
      <x:c r="A3" s="8" t="str">
        <x:v>Term</x:v>
      </x:c>
      <x:c r="B3" s="8" t="str">
        <x:v>Coefficient</x:v>
      </x:c>
      <x:c r="C3" s="8" t="str">
        <x:v>HC1 robust SE</x:v>
      </x:c>
      <x:c r="D3" s="8" t="str">
        <x:v>p-value</x:v>
      </x:c>
    </x:row>
    <x:row r="4">
      <x:c r="A4" t="str">
        <x:v>Intercept</x:v>
      </x:c>
      <x:c r="B4" s="12" t="n">
        <x:v>-0.000648681</x:v>
      </x:c>
      <x:c r="C4" s="12" t="n">
        <x:v>0.006457</x:v>
      </x:c>
      <x:c r="D4" s="12" t="n">
        <x:v>0.9199463</x:v>
      </x:c>
    </x:row>
    <x:row r="5">
      <x:c r="A5" t="str">
        <x:v>Repo change</x:v>
      </x:c>
      <x:c r="B5" s="12" t="n">
        <x:v>0.1122529</x:v>
      </x:c>
      <x:c r="C5" s="12" t="n">
        <x:v>0.026771</x:v>
      </x:c>
      <x:c r="D5" s="12" t="n">
        <x:v>0.0000275273</x:v>
      </x:c>
    </x:row>
    <x:row r="6">
      <x:c r="A6" t="str">
        <x:v>NIFTY return</x:v>
      </x:c>
      <x:c r="B6" s="12" t="n">
        <x:v>0.9512742</x:v>
      </x:c>
      <x:c r="C6" s="12" t="n">
        <x:v>0.146506</x:v>
      </x:c>
      <x:c r="D6" s="12" t="n">
        <x:v>8.409521e-11</x:v>
      </x:c>
    </x:row>
    <x:row r="8">
      <x:c r="A8" t="str">
        <x:v>Observations</x:v>
      </x:c>
      <x:c r="B8" s="12" t="n">
        <x:v>64</x:v>
      </x:c>
    </x:row>
    <x:row r="9">
      <x:c r="A9" t="str">
        <x:v>R-squared</x:v>
      </x:c>
      <x:c r="B9" s="12" t="n">
        <x:v>0.368175222</x:v>
      </x:c>
    </x:row>
    <x:row r="10">
      <x:c r="A10" t="str">
        <x:v>Sample</x:v>
      </x:c>
      <x:c r="B10" s="12" t="str">
        <x:v>May 2021-August 2026</x:v>
      </x:c>
    </x:row>
    <x:row r="12">
      <x:c r="A12" s="24" t="str">
        <x:v>Methodology</x:v>
      </x:c>
      <x:c r="B12" s="24" t="str">
        <x:v>Methodology</x:v>
      </x:c>
      <x:c r="C12" s="24" t="str">
        <x:v>Methodology</x:v>
      </x:c>
      <x:c r="D12" s="24" t="str">
        <x:v>Methodology</x:v>
      </x:c>
    </x:row>
    <x:row r="13" ht="32" customHeight="1">
      <x:c r="A13" s="26" t="str">
        <x:v>Specification: ITC_Return ~ Repo_Change + NIFTY_Return, with HC1 robust covariance and normal-approximation p-values.</x:v>
      </x:c>
      <x:c r="B13" s="26" t="str">
        <x:v>Specification: ITC_Return ~ Repo_Change + NIFTY_Return, with HC1 robust covariance and normal-approximation p-values.</x:v>
      </x:c>
      <x:c r="C13" s="26" t="str">
        <x:v>Specification: ITC_Return ~ Repo_Change + NIFTY_Return, with HC1 robust covariance and normal-approximation p-values.</x:v>
      </x:c>
      <x:c r="D13" s="26" t="str">
        <x:v>Specification: ITC_Return ~ Repo_Change + NIFTY_Return, with HC1 robust covariance and normal-approximation p-values.</x:v>
      </x:c>
    </x:row>
    <x:row r="14" ht="32" customHeight="1">
      <x:c r="A14" s="26" t="str">
        <x:v>RBI policy-rate dates follow published RBI decisions. September 2026 is excluded because the report date falls within the month.</x:v>
      </x:c>
      <x:c r="B14" s="26" t="str">
        <x:v>RBI policy-rate dates follow published RBI decisions. September 2026 is excluded because the report date falls within the month.</x:v>
      </x:c>
      <x:c r="C14" s="26" t="str">
        <x:v>RBI policy-rate dates follow published RBI decisions. September 2026 is excluded because the report date falls within the month.</x:v>
      </x:c>
      <x:c r="D14" s="26" t="str">
        <x:v>RBI policy-rate dates follow published RBI decisions. September 2026 is excluded because the report date falls within the month.</x:v>
      </x:c>
    </x:row>
    <x:row r="15" ht="32" customHeight="1">
      <x:c r="A15" s="26" t="str">
        <x:v>The supplied return observations are reproduced in the accompanying CSV; underlying price observations and adjustment factors were not supplied.</x:v>
      </x:c>
      <x:c r="B15" s="26" t="str">
        <x:v>The supplied return observations are reproduced in the accompanying CSV; underlying price observations and adjustment factors were not supplied.</x:v>
      </x:c>
      <x:c r="C15" s="26" t="str">
        <x:v>The supplied return observations are reproduced in the accompanying CSV; underlying price observations and adjustment factors were not supplied.</x:v>
      </x:c>
      <x:c r="D15" s="26" t="str">
        <x:v>The supplied return observations are reproduced in the accompanying CSV; underlying price observations and adjustment factors were not supplied.</x:v>
      </x:c>
    </x:row>
    <x:row r="16" ht="32" customHeight="1">
      <x:c r="A16" s="26" t="str">
        <x:v>The regression is exploratory association analysis and should not be interpreted as causal.</x:v>
      </x:c>
      <x:c r="B16" s="26" t="str">
        <x:v>The regression is exploratory association analysis and should not be interpreted as causal.</x:v>
      </x:c>
      <x:c r="C16" s="26" t="str">
        <x:v>The regression is exploratory association analysis and should not be interpreted as causal.</x:v>
      </x:c>
      <x:c r="D16" s="26" t="str">
        <x:v>The regression is exploratory association analysis and should not be interpreted as causal.</x:v>
      </x:c>
    </x:row>
  </x:sheetData>
  <x:mergeCells>
    <x:mergeCell ref="A1:D1"/>
    <x:mergeCell ref="A12:D12"/>
    <x:mergeCell ref="A13:D13"/>
    <x:mergeCell ref="A14:D14"/>
    <x:mergeCell ref="A15:D15"/>
    <x:mergeCell ref="A16:D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68" hidden="0" customWidth="1"/>
  </x:cols>
  <x:sheetData>
    <x:row r="1" ht="24" customHeight="1">
      <x:c r="A1" s="3" t="str">
        <x:v>PRIMARY SOURCES</x:v>
      </x:c>
      <x:c r="B1" s="3" t="str">
        <x:v>PRIMARY SOURCES</x:v>
      </x:c>
      <x:c r="C1" s="3" t="str">
        <x:v>PRIMARY SOURCES</x:v>
      </x:c>
    </x:row>
    <x:row r="3">
      <x:c r="A3" s="8" t="str">
        <x:v>Area</x:v>
      </x:c>
      <x:c r="B3" s="8" t="str">
        <x:v>Source</x:v>
      </x:c>
      <x:c r="C3" s="8" t="str">
        <x:v>URL</x:v>
      </x:c>
    </x:row>
    <x:row r="4">
      <x:c r="A4" s="26" t="str">
        <x:v>ITC FY26</x:v>
      </x:c>
      <x:c r="B4" s="26" t="str">
        <x:v>ITC consolidated results</x:v>
      </x:c>
      <x:c r="C4" s="26" t="str">
        <x:v>https://itcportal.com/investors/quarterly-results.html</x:v>
      </x:c>
    </x:row>
    <x:row r="5">
      <x:c r="A5" s="26" t="str">
        <x:v>ITC Q1 FY27</x:v>
      </x:c>
      <x:c r="B5" s="26" t="str">
        <x:v>ITC media statement, 31 Jul 2026</x:v>
      </x:c>
      <x:c r="C5" s="26" t="str">
        <x:v>https://itcportal.com/media-centre/press-releases/media-statement-financial-results-for-the-quarter-ended-30th-june-2026.html</x:v>
      </x:c>
    </x:row>
    <x:row r="6">
      <x:c r="A6" s="26" t="str">
        <x:v>RBI Feb 2023</x:v>
      </x:c>
      <x:c r="B6" s="26" t="str">
        <x:v>MPC statement, 8 Feb 2023</x:v>
      </x:c>
      <x:c r="C6" s="26" t="str">
        <x:v>https://rbi.org.in/scripts/BS_PressReleaseDisplay.aspx?prid=55178</x:v>
      </x:c>
    </x:row>
    <x:row r="7">
      <x:c r="A7" s="26" t="str">
        <x:v>RBI Apr 2025</x:v>
      </x:c>
      <x:c r="B7" s="26" t="str">
        <x:v>Governor statement, 9 Apr 2025</x:v>
      </x:c>
      <x:c r="C7" s="26" t="str">
        <x:v>https://www.rbi.org.in/scripts/BS_PressReleaseDisplay.aspx?prid=60177</x:v>
      </x:c>
    </x:row>
    <x:row r="8">
      <x:c r="A8" s="26" t="str">
        <x:v>RBI Jun 2025</x:v>
      </x:c>
      <x:c r="B8" s="26" t="str">
        <x:v>Liquidity Adjustment Facility, 6 Jun 2025</x:v>
      </x:c>
      <x:c r="C8" s="26" t="str">
        <x:v>https://www.rbi.org.in/scripts/BS_CircularIndexDisplay.aspx?Id=12854</x:v>
      </x:c>
    </x:row>
  </x:sheetData>
  <x:mergeCells>
    <x:mergeCell ref="A1:C1"/>
  </x:mergeCells>
  <x:pageMargins left="0.7" right="0.7" top="0.75" bottom="0.75" header="0.3" footer="0.3"/>
</x:worksheet>
</file>