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f79ff2c0534a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624c23a65fb493e"/>
    <x:sheet xmlns:r="http://schemas.openxmlformats.org/officeDocument/2006/relationships" name="Deal Mechanics" sheetId="2" r:id="R43c187f1bfea44cd"/>
    <x:sheet xmlns:r="http://schemas.openxmlformats.org/officeDocument/2006/relationships" name="Operating Reference" sheetId="3" r:id="R0460d74ce15a49da"/>
    <x:sheet xmlns:r="http://schemas.openxmlformats.org/officeDocument/2006/relationships" name="Financing Scenario" sheetId="4" r:id="R0a27709392f2436a"/>
    <x:sheet xmlns:r="http://schemas.openxmlformats.org/officeDocument/2006/relationships" name="Synergy Scenarios" sheetId="5" r:id="R3a22bdb5a0164cc3"/>
    <x:sheet xmlns:r="http://schemas.openxmlformats.org/officeDocument/2006/relationships" name="Sources" sheetId="6" r:id="R0f23686072e04d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&quot;p&quot;"/>
    <x:numFmt numFmtId="201" formatCode="0.0%;[Red](0.0%);-"/>
    <x:numFmt numFmtId="202" formatCode="£#,##0.0;[Red](£#,##0.0);-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sz val="11"/>
      <x:color rgb="FF008000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4" fillId="0" borderId="0" xfId="0" applyNumberFormat="1" applyFont="1" applyFill="1" applyBorder="1"/>
    <x:xf numFmtId="200" fontId="6" fillId="0" borderId="0" xfId="0" applyNumberFormat="1" applyFont="1" applyFill="1" applyBorder="1"/>
    <x:xf numFmtId="200" fontId="4" fillId="0" borderId="1" xfId="0" applyNumberFormat="1" applyFont="1" applyFill="1" applyBorder="1"/>
    <x:xf numFmtId="200" fontId="6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2" fontId="3" fillId="0" borderId="0" xfId="0" applyNumberFormat="1" applyFont="1" applyFill="1" applyBorder="1"/>
    <x:xf numFmtId="202" fontId="4" fillId="4" borderId="0" xfId="0" applyNumberFormat="1" applyFont="1" applyFill="1" applyBorder="1"/>
    <x:xf numFmtId="202" fontId="3" fillId="0" borderId="1" xfId="0" applyNumberFormat="1" applyFont="1" applyFill="1" applyBorder="1"/>
    <x:xf numFmtId="202" fontId="4" fillId="4" borderId="1" xfId="0" applyNumberFormat="1" applyFont="1" applyFill="1" applyBorder="1"/>
    <x:xf numFmtId="201" fontId="4" fillId="4" borderId="0" xfId="0" applyNumberFormat="1" applyFont="1" applyFill="1" applyBorder="1"/>
    <x:xf numFmtId="201" fontId="4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2b371c32ab409e" /><Relationship Type="http://schemas.openxmlformats.org/officeDocument/2006/relationships/theme" Target="/xl/theme/theme1.xml" Id="R978c018d695442bf" /><Relationship Type="http://schemas.openxmlformats.org/officeDocument/2006/relationships/sharedStrings" Target="/xl/sharedStrings.xml" Id="R058ce73a5ba84ded" /><Relationship Type="http://schemas.openxmlformats.org/officeDocument/2006/relationships/worksheet" Target="/xl/worksheets/sheet1.xml" Id="R3624c23a65fb493e" /><Relationship Type="http://schemas.openxmlformats.org/officeDocument/2006/relationships/worksheet" Target="/xl/worksheets/sheet2.xml" Id="R43c187f1bfea44cd" /><Relationship Type="http://schemas.openxmlformats.org/officeDocument/2006/relationships/worksheet" Target="/xl/worksheets/sheet3.xml" Id="R0460d74ce15a49da" /><Relationship Type="http://schemas.openxmlformats.org/officeDocument/2006/relationships/worksheet" Target="/xl/worksheets/sheet4.xml" Id="R0a27709392f2436a" /><Relationship Type="http://schemas.openxmlformats.org/officeDocument/2006/relationships/worksheet" Target="/xl/worksheets/sheet5.xml" Id="R3a22bdb5a0164cc3" /><Relationship Type="http://schemas.openxmlformats.org/officeDocument/2006/relationships/worksheet" Target="/xl/worksheets/sheet6.xml" Id="R0f23686072e04d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4" t="str">
        <x:v>OCS / MITIE - TRANSACTION ANALYSIS MODEL</x:v>
      </x:c>
      <x:c r="B1" s="4"/>
      <x:c r="C1" s="4"/>
      <x:c r="D1" s="4"/>
      <x:c r="E1" s="4"/>
      <x:c r="F1" s="4"/>
      <x:c r="G1" s="4"/>
    </x:row>
    <x:row r="3">
      <x:c r="A3" s="11" t="str">
        <x:v>Key verified fact</x:v>
      </x:c>
      <x:c r="B3" s="11" t="str">
        <x:v>Value</x:v>
      </x:c>
    </x:row>
    <x:row r="4">
      <x:c r="A4" t="str">
        <x:v>Cash offer (p/share)</x:v>
      </x:c>
      <x:c r="B4" s="20" t="n">
        <x:f>'Deal Mechanics'!B4</x:f>
        <x:v>218.5</x:v>
      </x:c>
    </x:row>
    <x:row r="5">
      <x:c r="A5" t="str">
        <x:v>Permitted FY26 final dividend (p/share)</x:v>
      </x:c>
      <x:c r="B5" s="20" t="n">
        <x:f>'Deal Mechanics'!B5</x:f>
        <x:v>3.1</x:v>
      </x:c>
    </x:row>
    <x:row r="6">
      <x:c r="A6" t="str">
        <x:v>Headline value (p/share)</x:v>
      </x:c>
      <x:c r="B6" s="20" t="n">
        <x:f>'Deal Mechanics'!B6</x:f>
        <x:v>221.6</x:v>
      </x:c>
    </x:row>
    <x:row r="7">
      <x:c r="A7" t="str">
        <x:v>Headline premium</x:v>
      </x:c>
      <x:c r="B7" s="22" t="n">
        <x:f>'Deal Mechanics'!B10</x:f>
        <x:v>3100</x:v>
      </x:c>
    </x:row>
    <x:row r="8">
      <x:c r="A8" t="str">
        <x:v>Fully diluted equity value</x:v>
      </x:c>
      <x:c r="B8" s="24" t="n">
        <x:v>3100</x:v>
      </x:c>
    </x:row>
    <x:row r="9">
      <x:c r="A9" t="str">
        <x:v>Official combined revenue (calendar 2025)</x:v>
      </x:c>
      <x:c r="B9" s="24" t="n">
        <x:v>8500</x:v>
      </x:c>
    </x:row>
    <x:row r="11" ht="19" customHeight="1">
      <x:c r="A11" s="27" t="str">
        <x:v>Model status</x:v>
      </x:c>
      <x:c r="B11" s="27"/>
      <x:c r="C11" s="27"/>
      <x:c r="D11" s="27"/>
      <x:c r="E11" s="27"/>
      <x:c r="F11" s="27"/>
      <x:c r="G11" s="27"/>
    </x:row>
    <x:row r="12">
      <x:c r="A12" s="30" t="str">
        <x:v>The model preserves verified transaction facts and uses an explicitly illustrative financing scenario that always balances.</x:v>
      </x:c>
      <x:c r="B12" s="30"/>
      <x:c r="C12" s="30"/>
      <x:c r="D12" s="30"/>
      <x:c r="E12" s="30"/>
      <x:c r="F12" s="30"/>
      <x:c r="G12" s="30"/>
    </x:row>
    <x:row r="13">
      <x:c r="A13" s="30" t="str">
        <x:v>Sponsor-return metrics are not presented because the public materials do not provide a fully reconciled ownership, rollover and debt perimeter.</x:v>
      </x:c>
      <x:c r="B13" s="30"/>
      <x:c r="C13" s="30"/>
      <x:c r="D13" s="30"/>
      <x:c r="E13" s="30"/>
      <x:c r="F13" s="30"/>
      <x:c r="G13" s="30"/>
    </x:row>
    <x:row r="14">
      <x:c r="A14" s="30" t="str">
        <x:v>The model does not present Mitie operating profit as reported EBITDA. OCS adjusted EBITDA and Mitie operating profit before Other items are shown separately.</x:v>
      </x:c>
      <x:c r="B14" s="30"/>
      <x:c r="C14" s="30"/>
      <x:c r="D14" s="30"/>
      <x:c r="E14" s="30"/>
      <x:c r="F14" s="30"/>
      <x:c r="G14" s="30"/>
    </x:row>
    <x:row r="15">
      <x:c r="A15" s="30" t="str">
        <x:v>Synergies are illustrative only and phased over three years; they are not company guidance.</x:v>
      </x:c>
      <x:c r="B15" s="30"/>
      <x:c r="C15" s="30"/>
      <x:c r="D15" s="30"/>
      <x:c r="E15" s="30"/>
      <x:c r="F15" s="30"/>
      <x:c r="G15" s="30"/>
    </x:row>
    <x:row r="16">
      <x:c r="A16" s="30" t="str">
        <x:v>For portfolio/educational research only; not investment advice.</x:v>
      </x:c>
      <x:c r="B16" s="30"/>
      <x:c r="C16" s="30"/>
      <x:c r="D16" s="30"/>
      <x:c r="E16" s="30"/>
      <x:c r="F16" s="30"/>
      <x:c r="G16" s="30"/>
    </x:row>
  </x:sheetData>
  <x:mergeCells>
    <x:mergeCell ref="A1:G1"/>
    <x:mergeCell ref="A11:G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4" t="str">
        <x:v>DEAL MECHANICS</x:v>
      </x:c>
      <x:c r="B1" s="4"/>
      <x:c r="C1" s="4"/>
      <x:c r="D1" s="4"/>
      <x:c r="E1" s="4"/>
      <x:c r="F1" s="4"/>
    </x:row>
    <x:row r="3">
      <x:c r="A3" s="11" t="str">
        <x:v>Input / calculation</x:v>
      </x:c>
      <x:c r="B3" s="11" t="str">
        <x:v>Value</x:v>
      </x:c>
      <x:c r="C3" s="11" t="str">
        <x:v>Note</x:v>
      </x:c>
    </x:row>
    <x:row r="4">
      <x:c r="A4" t="str">
        <x:v>Cash offer (p/share)</x:v>
      </x:c>
      <x:c r="B4" s="34" t="n">
        <x:v>218.5</x:v>
      </x:c>
      <x:c r="C4" t="str">
        <x:v>Rule 2.7 firm offer</x:v>
      </x:c>
    </x:row>
    <x:row r="5">
      <x:c r="A5" t="str">
        <x:v>Permitted FY26 final dividend (p/share)</x:v>
      </x:c>
      <x:c r="B5" s="34" t="n">
        <x:v>3.1</x:v>
      </x:c>
      <x:c r="C5" t="str">
        <x:v>Shareholders may retain if approved</x:v>
      </x:c>
    </x:row>
    <x:row r="6">
      <x:c r="A6" t="str">
        <x:v>Headline value (p/share)</x:v>
      </x:c>
      <x:c r="B6" s="35" t="n">
        <x:f>SUM(B4:B5)</x:f>
        <x:v>221.6</x:v>
      </x:c>
      <x:c r="C6" t="str">
        <x:v>Cash + permitted dividend</x:v>
      </x:c>
    </x:row>
    <x:row r="7">
      <x:c r="A7" t="str">
        <x:v>Unaffected price (p/share)</x:v>
      </x:c>
      <x:c r="B7" s="34" t="n">
        <x:v>151</x:v>
      </x:c>
      <x:c r="C7" t="str">
        <x:v>20 Jul 2026 unaffected close</x:v>
      </x:c>
    </x:row>
    <x:row r="8">
      <x:c r="A8" t="str">
        <x:v>Cash premium</x:v>
      </x:c>
      <x:c r="B8" s="38" t="n">
        <x:f>B4/B7-1</x:f>
        <x:v>0.4470198675496688</x:v>
      </x:c>
      <x:c r="C8" t="str">
        <x:v>Offer price vs unaffected close</x:v>
      </x:c>
    </x:row>
    <x:row r="9">
      <x:c r="A9" t="str">
        <x:v>Headline premium</x:v>
      </x:c>
      <x:c r="B9" s="38" t="n">
        <x:f>B6/B7-1</x:f>
        <x:v>0.46754966887417204</x:v>
      </x:c>
      <x:c r="C9" t="str">
        <x:v>Headline value vs unaffected close</x:v>
      </x:c>
    </x:row>
    <x:row r="10">
      <x:c r="A10" t="str">
        <x:v>Approx. fully diluted equity value (£m)</x:v>
      </x:c>
      <x:c r="B10" s="24" t="n">
        <x:v>3100</x:v>
      </x:c>
      <x:c r="C10" t="str">
        <x:v>Offer announcement, approximate fully diluted equity value</x:v>
      </x:c>
    </x:row>
    <x:row r="11">
      <x:c r="A11" t="str">
        <x:v>Official calendar-2025 combined revenue (£m)</x:v>
      </x:c>
      <x:c r="B11" s="24" t="n">
        <x:v>8500</x:v>
      </x:c>
      <x:c r="C11" t="str">
        <x:v>Offer announcement; calendar-2025 basis</x:v>
      </x:c>
    </x:row>
    <x:row r="12">
      <x:c r="A12" t="str">
        <x:v>Expected completion</x:v>
      </x:c>
      <x:c r="B12" s="18" t="str">
        <x:v>Q1 2027, subject to conditions</x:v>
      </x:c>
      <x:c r="C12" t="str">
        <x:v>Offer announcement timetable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4" t="str">
        <x:v>OPERATING REFERENCE - KEEP PERIMETERS SEPARATE</x:v>
      </x:c>
      <x:c r="B1" s="4"/>
      <x:c r="C1" s="4"/>
      <x:c r="D1" s="4"/>
      <x:c r="E1" s="4"/>
      <x:c r="F1" s="4"/>
    </x:row>
    <x:row r="3">
      <x:c r="A3" s="11" t="str">
        <x:v>Metric</x:v>
      </x:c>
      <x:c r="B3" s="11" t="str">
        <x:v>OCS FY2025</x:v>
      </x:c>
      <x:c r="C3" s="11" t="str">
        <x:v>Mitie FY2026</x:v>
      </x:c>
      <x:c r="D3" s="11" t="str">
        <x:v>Comment</x:v>
      </x:c>
    </x:row>
    <x:row r="4">
      <x:c r="A4" t="str">
        <x:v>Revenue (£m)</x:v>
      </x:c>
      <x:c r="B4" s="24" t="n">
        <x:v>2658.6</x:v>
      </x:c>
      <x:c r="C4" s="24" t="n">
        <x:v>5619</x:v>
      </x:c>
      <x:c r="D4" s="30" t="str">
        <x:v>Non-coterminous periods; do not add to claim official £8.5bn calendar-2025 revenue</x:v>
      </x:c>
    </x:row>
    <x:row r="5">
      <x:c r="A5" t="str">
        <x:v>Adjusted EBITDA (£m)</x:v>
      </x:c>
      <x:c r="B5" s="24" t="n">
        <x:v>191.6</x:v>
      </x:c>
      <x:c r="C5" s="24"/>
      <x:c r="D5" s="30" t="str">
        <x:v>OCS reported adjusted EBITDA; Mitie equivalent not inserted without a sourced reconciliation</x:v>
      </x:c>
    </x:row>
    <x:row r="6">
      <x:c r="A6" t="str">
        <x:v>Operating profit before Other items (£m)</x:v>
      </x:c>
      <x:c r="B6" s="24" t="n">
        <x:v>135.2</x:v>
      </x:c>
      <x:c r="C6" s="24" t="n">
        <x:v>264</x:v>
      </x:c>
      <x:c r="D6" s="30" t="str">
        <x:v>Mitie figure is operating profit before Other items, not EBITDA</x:v>
      </x:c>
    </x:row>
    <x:row r="7">
      <x:c r="A7" t="str">
        <x:v>Operating cash flow / FCF (£m)</x:v>
      </x:c>
      <x:c r="B7" s="24" t="n">
        <x:v>163.9</x:v>
      </x:c>
      <x:c r="C7" s="24" t="n">
        <x:v>162</x:v>
      </x:c>
      <x:c r="D7" s="30" t="str">
        <x:v>OCS metric is operating cash flow; Mitie metric is free cash flow - not directly comparable</x:v>
      </x:c>
    </x:row>
    <x:row r="8">
      <x:c r="A8" t="str">
        <x:v>Period basis</x:v>
      </x:c>
      <x:c r="B8" s="18" t="str">
        <x:v>Calendar year ended 31 Dec 2025</x:v>
      </x:c>
      <x:c r="C8" s="18" t="str">
        <x:v>Year ended 31 Mar 2026</x:v>
      </x:c>
      <x:c r="D8" s="30" t="str">
        <x:v>Official transaction announcement separately states ~£8.5bn combined calendar-2025 revenue</x:v>
      </x:c>
    </x:row>
    <x:row r="11" ht="19" customHeight="1">
      <x:c r="A11" s="27" t="str">
        <x:v>OCS financing reference</x:v>
      </x:c>
      <x:c r="B11" s="27"/>
      <x:c r="C11" s="27"/>
      <x:c r="D11" s="27"/>
    </x:row>
    <x:row r="12">
      <x:c r="A12" s="11" t="str">
        <x:v>Item</x:v>
      </x:c>
      <x:c r="B12" s="11" t="str">
        <x:v>£m</x:v>
      </x:c>
      <x:c r="C12" s="11" t="str">
        <x:v>Treatment</x:v>
      </x:c>
      <x:c r="D12" s="11" t="str">
        <x:v>Source</x:v>
      </x:c>
    </x:row>
    <x:row r="13">
      <x:c r="A13" t="str">
        <x:v>Bank term loans</x:v>
      </x:c>
      <x:c r="B13" s="24" t="n">
        <x:v>1143.3</x:v>
      </x:c>
      <x:c r="C13" t="str">
        <x:v>Gross debt reference</x:v>
      </x:c>
      <x:c r="D13" t="str">
        <x:v>OCS 2025 annual report</x:v>
      </x:c>
    </x:row>
    <x:row r="14">
      <x:c r="A14" t="str">
        <x:v>Total borrowings</x:v>
      </x:c>
      <x:c r="B14" s="24" t="n">
        <x:v>1271.5</x:v>
      </x:c>
      <x:c r="C14" t="str">
        <x:v>Gross borrowings reference</x:v>
      </x:c>
      <x:c r="D14" t="str">
        <x:v>OCS 2025 annual report</x:v>
      </x:c>
    </x:row>
    <x:row r="15">
      <x:c r="A15" t="str">
        <x:v>Cash</x:v>
      </x:c>
      <x:c r="B15" s="24" t="n">
        <x:v>96.3</x:v>
      </x:c>
      <x:c r="C15" t="str">
        <x:v>Cash reference</x:v>
      </x:c>
      <x:c r="D15" t="str">
        <x:v>OCS 2025 annual report</x:v>
      </x:c>
    </x:row>
    <x:row r="16">
      <x:c r="A16" t="str">
        <x:v>Preference share liabilities</x:v>
      </x:c>
      <x:c r="B16" s="24" t="n">
        <x:v>689.9</x:v>
      </x:c>
      <x:c r="C16" t="str">
        <x:v>Shown separately; not automatically treated as acquisition net debt</x:v>
      </x:c>
      <x:c r="D16" t="str">
        <x:v>OCS 2025 annual report</x:v>
      </x:c>
    </x:row>
    <x:row r="17">
      <x:c r="A17" t="str">
        <x:v>Net borrowings (borrowings less cash)</x:v>
      </x:c>
      <x:c r="B17" s="40" t="n">
        <x:f>B14-B15</x:f>
        <x:v>1175.2</x:v>
      </x:c>
      <x:c r="C17" t="str">
        <x:v>Calculated reference; excludes preference share liabilities</x:v>
      </x:c>
      <x:c r="D17" t="str">
        <x:v>Calculated</x:v>
      </x:c>
    </x:row>
  </x:sheetData>
  <x:mergeCells>
    <x:mergeCell ref="A1:F1"/>
    <x:mergeCell ref="A11:D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4" t="str">
        <x:v>ILLUSTRATIVE ACQUISITION FINANCING - EXPLICIT ASSUMPTIONS</x:v>
      </x:c>
      <x:c r="B1" s="4"/>
      <x:c r="C1" s="4"/>
      <x:c r="D1" s="4"/>
      <x:c r="E1" s="4"/>
      <x:c r="F1" s="4"/>
    </x:row>
    <x:row r="3">
      <x:c r="A3" s="11" t="str">
        <x:v>Uses / assumptions</x:v>
      </x:c>
      <x:c r="B3" s="11" t="str">
        <x:v>Value (£m)</x:v>
      </x:c>
      <x:c r="C3" s="11" t="str">
        <x:v>Status</x:v>
      </x:c>
    </x:row>
    <x:row r="4">
      <x:c r="A4" t="str">
        <x:v>Approx. fully diluted Mitie equity value</x:v>
      </x:c>
      <x:c r="B4" s="46" t="n">
        <x:f>'Deal Mechanics'!B10</x:f>
        <x:v>3100</x:v>
      </x:c>
      <x:c r="C4" t="str">
        <x:v>Verified headline equity-value reference</x:v>
      </x:c>
    </x:row>
    <x:row r="5">
      <x:c r="A5" t="str">
        <x:v>Illustrative integration cost</x:v>
      </x:c>
      <x:c r="B5" s="47" t="n">
        <x:v>125</x:v>
      </x:c>
      <x:c r="C5" t="str">
        <x:v>Illustrative assumption; not company guidance</x:v>
      </x:c>
    </x:row>
    <x:row r="6">
      <x:c r="A6" t="str">
        <x:v>Total uses</x:v>
      </x:c>
      <x:c r="B6" s="40" t="n">
        <x:f>SUM(B4:B5)</x:f>
        <x:v>3225</x:v>
      </x:c>
      <x:c r="C6" t="str">
        <x:v>Calculated</x:v>
      </x:c>
    </x:row>
    <x:row r="7">
      <x:c r="A7" t="str">
        <x:v>Illustrative debt-funded share</x:v>
      </x:c>
      <x:c r="B7" s="50" t="n">
        <x:v>0.5</x:v>
      </x:c>
      <x:c r="C7" t="str">
        <x:v>Illustrative scenario only; actual funding mix not quantified here</x:v>
      </x:c>
    </x:row>
    <x:row r="8">
      <x:c r="A8" t="str">
        <x:v>Illustrative new acquisition debt</x:v>
      </x:c>
      <x:c r="B8" s="40" t="n">
        <x:f>B6*B7</x:f>
        <x:v>1612.5</x:v>
      </x:c>
      <x:c r="C8" t="str">
        <x:v>Calculated</x:v>
      </x:c>
    </x:row>
    <x:row r="9">
      <x:c r="A9" t="str">
        <x:v>Illustrative sponsor equity residual</x:v>
      </x:c>
      <x:c r="B9" s="40" t="n">
        <x:f>B6-B8</x:f>
        <x:v>1612.5</x:v>
      </x:c>
      <x:c r="C9" t="str">
        <x:v>Balancing residual</x:v>
      </x:c>
    </x:row>
    <x:row r="12" ht="19" customHeight="1">
      <x:c r="A12" s="27" t="str">
        <x:v>Balance check</x:v>
      </x:c>
      <x:c r="B12" s="27"/>
      <x:c r="C12" s="27"/>
    </x:row>
    <x:row r="13">
      <x:c r="A13" t="str">
        <x:v>Sources</x:v>
      </x:c>
      <x:c r="B13" s="40" t="n">
        <x:f>SUM(B8:B9)</x:f>
        <x:v>3225</x:v>
      </x:c>
    </x:row>
    <x:row r="14">
      <x:c r="A14" t="str">
        <x:v>Uses</x:v>
      </x:c>
      <x:c r="B14" s="40" t="n">
        <x:f>B6</x:f>
        <x:v>3225</x:v>
      </x:c>
    </x:row>
    <x:row r="15">
      <x:c r="A15" t="str">
        <x:v>Difference</x:v>
      </x:c>
      <x:c r="B15" s="40" t="n">
        <x:f>B13-B14</x:f>
        <x:v>0</x:v>
      </x:c>
    </x:row>
  </x:sheetData>
  <x:mergeCells>
    <x:mergeCell ref="A1:F1"/>
    <x:mergeCell ref="A12:C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4" t="str">
        <x:v>ILLUSTRATIVE SYNERGY &amp; IMPLEMENTATION SCENARIOS</x:v>
      </x:c>
      <x:c r="B1" s="4"/>
      <x:c r="C1" s="4"/>
      <x:c r="D1" s="4"/>
      <x:c r="E1" s="4"/>
      <x:c r="F1" s="4"/>
      <x:c r="G1" s="4"/>
    </x:row>
    <x:row r="3">
      <x:c r="A3" s="11" t="str">
        <x:v>£m / %</x:v>
      </x:c>
      <x:c r="B3" s="11" t="str">
        <x:v>Bear</x:v>
      </x:c>
      <x:c r="C3" s="11" t="str">
        <x:v>Base</x:v>
      </x:c>
      <x:c r="D3" s="11" t="str">
        <x:v>Bull</x:v>
      </x:c>
      <x:c r="E3" s="11" t="str">
        <x:v>Note</x:v>
      </x:c>
      <x:c r="F3" s="11" t="str">
        <x:v>Status</x:v>
      </x:c>
    </x:row>
    <x:row r="4">
      <x:c r="A4" t="str">
        <x:v>Annual run-rate synergies</x:v>
      </x:c>
      <x:c r="B4" s="47" t="n">
        <x:v>50</x:v>
      </x:c>
      <x:c r="C4" s="47" t="n">
        <x:v>100</x:v>
      </x:c>
      <x:c r="D4" s="47" t="n">
        <x:v>150</x:v>
      </x:c>
      <x:c r="E4" t="str">
        <x:v>Illustrative, not company guidance</x:v>
      </x:c>
      <x:c r="F4" t="str">
        <x:v>Assumption</x:v>
      </x:c>
    </x:row>
    <x:row r="5">
      <x:c r="A5" t="str">
        <x:v>Implementation cost / run-rate</x:v>
      </x:c>
      <x:c r="B5" s="47" t="n">
        <x:v>1.5</x:v>
      </x:c>
      <x:c r="C5" s="47" t="n">
        <x:v>1.25</x:v>
      </x:c>
      <x:c r="D5" s="47" t="n">
        <x:v>1</x:v>
      </x:c>
      <x:c r="E5" t="str">
        <x:v>Illustrative assumption</x:v>
      </x:c>
      <x:c r="F5" t="str">
        <x:v>Assumption</x:v>
      </x:c>
    </x:row>
    <x:row r="6">
      <x:c r="A6" t="str">
        <x:v>Total implementation cost</x:v>
      </x:c>
      <x:c r="B6" s="40" t="n">
        <x:f>B4*B5</x:f>
        <x:v>75</x:v>
      </x:c>
      <x:c r="C6" s="40" t="n">
        <x:f>C4*C5</x:f>
        <x:v>125</x:v>
      </x:c>
      <x:c r="D6" s="40" t="n">
        <x:f>D4*D5</x:f>
        <x:v>150</x:v>
      </x:c>
      <x:c r="E6" t="str">
        <x:v>Formula</x:v>
      </x:c>
      <x:c r="F6" t="str">
        <x:v>Assumption</x:v>
      </x:c>
    </x:row>
    <x:row r="7">
      <x:c r="A7" t="str">
        <x:v>Year 1 realisation</x:v>
      </x:c>
      <x:c r="B7" s="50" t="n">
        <x:v>0.25</x:v>
      </x:c>
      <x:c r="C7" s="50" t="n">
        <x:v>0.25</x:v>
      </x:c>
      <x:c r="D7" s="50" t="n">
        <x:v>0.25</x:v>
      </x:c>
      <x:c r="E7" t="str">
        <x:v>Phased capture assumption</x:v>
      </x:c>
      <x:c r="F7" t="str">
        <x:v>Assumption</x:v>
      </x:c>
    </x:row>
    <x:row r="8">
      <x:c r="A8" t="str">
        <x:v>Year 2 realisation</x:v>
      </x:c>
      <x:c r="B8" s="50" t="n">
        <x:v>0.65</x:v>
      </x:c>
      <x:c r="C8" s="50" t="n">
        <x:v>0.65</x:v>
      </x:c>
      <x:c r="D8" s="50" t="n">
        <x:v>0.65</x:v>
      </x:c>
      <x:c r="E8" t="str">
        <x:v>Phased capture assumption</x:v>
      </x:c>
      <x:c r="F8" t="str">
        <x:v>Assumption</x:v>
      </x:c>
    </x:row>
    <x:row r="9">
      <x:c r="A9" t="str">
        <x:v>Year 3+ realisation</x:v>
      </x:c>
      <x:c r="B9" s="50" t="n">
        <x:v>1</x:v>
      </x:c>
      <x:c r="C9" s="50" t="n">
        <x:v>1</x:v>
      </x:c>
      <x:c r="D9" s="50" t="n">
        <x:v>1</x:v>
      </x:c>
      <x:c r="E9" t="str">
        <x:v>Full run-rate from year 3</x:v>
      </x:c>
      <x:c r="F9" t="str">
        <x:v>Assumption</x:v>
      </x:c>
    </x:row>
    <x:row r="10">
      <x:c r="A10" t="str">
        <x:v>Tax rate</x:v>
      </x:c>
      <x:c r="B10" s="50" t="n">
        <x:v>0.25</x:v>
      </x:c>
      <x:c r="C10" s="50" t="n">
        <x:v>0.25</x:v>
      </x:c>
      <x:c r="D10" s="50" t="n">
        <x:v>0.25</x:v>
      </x:c>
      <x:c r="E10" t="str">
        <x:v>Illustrative UK tax assumption</x:v>
      </x:c>
      <x:c r="F10" t="str">
        <x:v>Assumption</x:v>
      </x:c>
    </x:row>
    <x:row r="13" ht="19" customHeight="1">
      <x:c r="A13" s="27" t="str">
        <x:v>Phased pre-tax synergies</x:v>
      </x:c>
      <x:c r="B13" s="27"/>
      <x:c r="C13" s="27"/>
      <x:c r="D13" s="27"/>
      <x:c r="E13" s="27"/>
    </x:row>
    <x:row r="14">
      <x:c r="A14" s="11" t="str">
        <x:v>Scenario</x:v>
      </x:c>
      <x:c r="B14" s="11" t="str">
        <x:v>Year 1</x:v>
      </x:c>
      <x:c r="C14" s="11" t="str">
        <x:v>Year 2</x:v>
      </x:c>
      <x:c r="D14" s="11" t="str">
        <x:v>Year 3</x:v>
      </x:c>
      <x:c r="E14" s="11" t="str">
        <x:v>Run-rate</x:v>
      </x:c>
    </x:row>
    <x:row r="15">
      <x:c r="A15" t="str">
        <x:v>Bear</x:v>
      </x:c>
      <x:c r="B15" s="40" t="n">
        <x:f>B$4*B$7</x:f>
        <x:v>12.5</x:v>
      </x:c>
      <x:c r="C15" s="40" t="n">
        <x:f>B$4*B$8</x:f>
        <x:v>32.5</x:v>
      </x:c>
      <x:c r="D15" s="40" t="n">
        <x:f>B$4*B$9</x:f>
        <x:v>50</x:v>
      </x:c>
      <x:c r="E15" s="40" t="n">
        <x:f>B$4</x:f>
        <x:v>50</x:v>
      </x:c>
    </x:row>
    <x:row r="16">
      <x:c r="A16" t="str">
        <x:v>Base</x:v>
      </x:c>
      <x:c r="B16" s="40" t="n">
        <x:f>C$4*C$7</x:f>
        <x:v>25</x:v>
      </x:c>
      <x:c r="C16" s="40" t="n">
        <x:f>C$4*C$8</x:f>
        <x:v>65</x:v>
      </x:c>
      <x:c r="D16" s="40" t="n">
        <x:f>C$4*C$9</x:f>
        <x:v>100</x:v>
      </x:c>
      <x:c r="E16" s="40" t="n">
        <x:f>C$4</x:f>
        <x:v>100</x:v>
      </x:c>
    </x:row>
    <x:row r="17">
      <x:c r="A17" t="str">
        <x:v>Bull</x:v>
      </x:c>
      <x:c r="B17" s="40" t="n">
        <x:f>D$4*D$7</x:f>
        <x:v>37.5</x:v>
      </x:c>
      <x:c r="C17" s="40" t="n">
        <x:f>D$4*D$8</x:f>
        <x:v>97.5</x:v>
      </x:c>
      <x:c r="D17" s="40" t="n">
        <x:f>D$4*D$9</x:f>
        <x:v>150</x:v>
      </x:c>
      <x:c r="E17" s="40" t="n">
        <x:f>D$4</x:f>
        <x:v>150</x:v>
      </x:c>
    </x:row>
  </x:sheetData>
  <x:mergeCells>
    <x:mergeCell ref="A1:G1"/>
    <x:mergeCell ref="A13:E1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4" t="str">
        <x:v>PRIMARY SOURCES &amp; MODEL NOTES</x:v>
      </x:c>
      <x:c r="B1" s="4"/>
      <x:c r="C1" s="4"/>
      <x:c r="D1" s="4"/>
      <x:c r="E1" s="4"/>
      <x:c r="F1" s="4"/>
      <x:c r="G1" s="4"/>
    </x:row>
    <x:row r="3">
      <x:c r="A3" s="11" t="str">
        <x:v>Area</x:v>
      </x:c>
      <x:c r="B3" s="11" t="str">
        <x:v>Source</x:v>
      </x:c>
      <x:c r="C3" s="11" t="str">
        <x:v>URL</x:v>
      </x:c>
      <x:c r="D3" s="11" t="str">
        <x:v>Use</x:v>
      </x:c>
    </x:row>
    <x:row r="4">
      <x:c r="A4" s="30" t="str">
        <x:v>Offer terms</x:v>
      </x:c>
      <x:c r="B4" s="30" t="str">
        <x:v>Mitie / OCS Rule 2.7 firm offer announcement, 21 Jul 2026</x:v>
      </x:c>
      <x:c r="C4" s="30" t="str">
        <x:v>https://www.mitie.com/investors/</x:v>
      </x:c>
      <x:c r="D4" s="30" t="str">
        <x:v>218.5p cash; up to 3.1p dividend; premiums; ~£3.1bn; ~£8.5bn calendar-2025 revenue</x:v>
      </x:c>
    </x:row>
    <x:row r="5">
      <x:c r="A5" s="30" t="str">
        <x:v>Mitie FY26</x:v>
      </x:c>
      <x:c r="B5" s="30" t="str">
        <x:v>Mitie Annual Report 2026</x:v>
      </x:c>
      <x:c r="C5" s="30" t="str">
        <x:v>https://www.mitie.com/investors/reports-and-presentations/annual-report-2026/</x:v>
      </x:c>
      <x:c r="D5" s="30" t="str">
        <x:v>Revenue £5,619m; operating profit before Other items £264m; FCF £162m</x:v>
      </x:c>
    </x:row>
    <x:row r="6">
      <x:c r="A6" s="30" t="str">
        <x:v>OCS FY25</x:v>
      </x:c>
      <x:c r="B6" s="30" t="str">
        <x:v>OCS Group Topco Annual Report 2025</x:v>
      </x:c>
      <x:c r="C6" s="30" t="str">
        <x:v>https://ocs.com/app/uploads/2026/06/OCS_Group_Topco_FS_31.12.25.pdf</x:v>
      </x:c>
      <x:c r="D6" s="30" t="str">
        <x:v>Revenue, EBITDA, cash flow, borrowings and preference-share liabilities</x:v>
      </x:c>
    </x:row>
    <x:row r="7">
      <x:c r="A7" s="30" t="str">
        <x:v>Financing</x:v>
      </x:c>
      <x:c r="B7" s="30" t="str">
        <x:v>Offer announcement funding disclosure</x:v>
      </x:c>
      <x:c r="C7" s="30" t="str">
        <x:v>https://www.mitie.com/investors/</x:v>
      </x:c>
      <x:c r="D7" s="30" t="str">
        <x:v>Combination of CD&amp;R equity and committed term-loan financing; exact model mix not inferred</x:v>
      </x:c>
    </x:row>
    <x:row r="8">
      <x:c r="A8" s="30" t="str">
        <x:v>Scenarios</x:v>
      </x:c>
      <x:c r="B8" s="30" t="str">
        <x:v>Model assumptions</x:v>
      </x:c>
      <x:c r="C8" s="30" t="str">
        <x:v>Internal - editable yellow cells</x:v>
      </x:c>
      <x:c r="D8" s="30" t="str">
        <x:v>Synergy, integration cost and debt-funded-share assumptions are illustrative</x:v>
      </x:c>
    </x:row>
  </x:sheetData>
  <x:mergeCells>
    <x:mergeCell ref="A1:G1"/>
  </x:mergeCells>
  <x:pageMargins left="0.7" right="0.7" top="0.75" bottom="0.75" header="0.3" footer="0.3"/>
</x:worksheet>
</file>