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fd0d7e66a41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ffc5bdc808e47be"/>
    <x:sheet xmlns:r="http://schemas.openxmlformats.org/officeDocument/2006/relationships" name="Inputs" sheetId="2" r:id="R51f60d12910d4ab9"/>
    <x:sheet xmlns:r="http://schemas.openxmlformats.org/officeDocument/2006/relationships" name="Proposal" sheetId="3" r:id="R4229236b32b647ea"/>
    <x:sheet xmlns:r="http://schemas.openxmlformats.org/officeDocument/2006/relationships" name="RCV Debt Capacity" sheetId="4" r:id="Rf952c274257640e6"/>
    <x:sheet xmlns:r="http://schemas.openxmlformats.org/officeDocument/2006/relationships" name="Recovery Sensitivity" sheetId="5" r:id="R950d8eaedb8d450f"/>
    <x:sheet xmlns:r="http://schemas.openxmlformats.org/officeDocument/2006/relationships" name="Sources" sheetId="6" r:id="R2d68d5e33a684c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#,##0.0;[Red](£#,##0.0);-"/>
    <x:numFmt numFmtId="201" formatCode="0.0%;[Red](0.0%);-"/>
  </x:numFmts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b/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201" fontId="5" fillId="4" borderId="0" xfId="0" applyNumberFormat="1" applyFont="1" applyFill="1" applyBorder="1"/>
    <x:xf numFmtId="201" fontId="5" fillId="4" borderId="1" xfId="0" applyNumberFormat="1" applyFont="1" applyFill="1" applyBorder="1"/>
    <x:xf numFmtId="200" fontId="5" fillId="4" borderId="0" xfId="0" applyNumberFormat="1" applyFont="1" applyFill="1" applyBorder="1"/>
    <x:xf numFmtId="200" fontId="5" fillId="4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0" fontId="2" fillId="4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7" fillId="4" borderId="1" xfId="0" applyNumberFormat="1" applyFont="1" applyFill="1" applyBorder="1" applyAlignment="1">
      <x:alignment vertical="center" wrapText="1"/>
    </x:xf>
    <x:xf numFmtId="201" fontId="7" fillId="4" borderId="0" xfId="0" applyNumberFormat="1" applyFont="1" applyFill="1" applyBorder="1" applyAlignment="1">
      <x:alignment vertical="center" wrapText="1"/>
    </x:xf>
    <x:xf numFmtId="201" fontId="7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cba10751ce4e3a" /><Relationship Type="http://schemas.openxmlformats.org/officeDocument/2006/relationships/theme" Target="/xl/theme/theme1.xml" Id="Rcbeee7a973d6477b" /><Relationship Type="http://schemas.openxmlformats.org/officeDocument/2006/relationships/sharedStrings" Target="/xl/sharedStrings.xml" Id="R9841bcec03f84485" /><Relationship Type="http://schemas.openxmlformats.org/officeDocument/2006/relationships/worksheet" Target="/xl/worksheets/sheet1.xml" Id="Rcffc5bdc808e47be" /><Relationship Type="http://schemas.openxmlformats.org/officeDocument/2006/relationships/worksheet" Target="/xl/worksheets/sheet2.xml" Id="R51f60d12910d4ab9" /><Relationship Type="http://schemas.openxmlformats.org/officeDocument/2006/relationships/worksheet" Target="/xl/worksheets/sheet3.xml" Id="R4229236b32b647ea" /><Relationship Type="http://schemas.openxmlformats.org/officeDocument/2006/relationships/worksheet" Target="/xl/worksheets/sheet4.xml" Id="Rf952c274257640e6" /><Relationship Type="http://schemas.openxmlformats.org/officeDocument/2006/relationships/worksheet" Target="/xl/worksheets/sheet5.xml" Id="R950d8eaedb8d450f" /><Relationship Type="http://schemas.openxmlformats.org/officeDocument/2006/relationships/worksheet" Target="/xl/worksheets/sheet6.xml" Id="R2d68d5e33a684c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</x:cols>
  <x:sheetData>
    <x:row r="1" ht="24" customHeight="1">
      <x:c r="A1" s="4" t="str">
        <x:v>THAMES WATER - RESTRUCTURING ANALYSIS MODEL</x:v>
      </x:c>
      <x:c r="B1" s="4"/>
      <x:c r="C1" s="4"/>
      <x:c r="D1" s="4"/>
      <x:c r="E1" s="4"/>
      <x:c r="F1" s="4"/>
      <x:c r="G1" s="4"/>
    </x:row>
    <x:row r="3">
      <x:c r="A3" s="11" t="str">
        <x:v>Verified item</x:v>
      </x:c>
      <x:c r="B3" s="11" t="str">
        <x:v>Value</x:v>
      </x:c>
    </x:row>
    <x:row r="4">
      <x:c r="A4" t="str">
        <x:v>Statutory net debt at 30 Sep 2025 (£m)</x:v>
      </x:c>
      <x:c r="B4" s="18" t="n">
        <x:f>Inputs!B4</x:f>
        <x:v>17626.9</x:v>
      </x:c>
    </x:row>
    <x:row r="5">
      <x:c r="A5" t="str">
        <x:v>Reported RCV at 30 Sep 2025 (£m)</x:v>
      </x:c>
      <x:c r="B5" s="18" t="n">
        <x:f>Inputs!B7</x:f>
        <x:v>21893</x:v>
      </x:c>
    </x:row>
    <x:row r="6">
      <x:c r="A6" t="str">
        <x:v>Senior gearing net of TWSSI cash</x:v>
      </x:c>
      <x:c r="B6" s="20" t="n">
        <x:f>Inputs!B9</x:f>
        <x:v>0.859</x:v>
      </x:c>
    </x:row>
    <x:row r="7">
      <x:c r="A7" t="str">
        <x:v>Proposed new equity (£m)</x:v>
      </x:c>
      <x:c r="B7" s="18" t="n">
        <x:f>Proposal!B4</x:f>
        <x:v>3350</x:v>
      </x:c>
    </x:row>
    <x:row r="8">
      <x:c r="A8" t="str">
        <x:v>New day-one debt (£m)</x:v>
      </x:c>
      <x:c r="B8" s="18" t="n">
        <x:f>Proposal!B5</x:f>
        <x:v>3250</x:v>
      </x:c>
    </x:row>
    <x:row r="9">
      <x:c r="A9" t="str">
        <x:v>Committed undrawn debt (£m)</x:v>
      </x:c>
      <x:c r="B9" s="18" t="n">
        <x:f>Proposal!B6</x:f>
        <x:v>3300</x:v>
      </x:c>
    </x:row>
    <x:row r="10">
      <x:c r="A10" t="str">
        <x:v>Proposed day-one net leverage</x:v>
      </x:c>
      <x:c r="B10" s="20" t="n">
        <x:f>Proposal!B10</x:f>
        <x:v>0.52</x:v>
      </x:c>
    </x:row>
    <x:row r="12" ht="19" customHeight="1">
      <x:c r="A12" s="23" t="str">
        <x:v>Model status</x:v>
      </x:c>
      <x:c r="B12" s="23"/>
      <x:c r="C12" s="23"/>
      <x:c r="D12" s="23"/>
      <x:c r="E12" s="23"/>
      <x:c r="F12" s="23"/>
      <x:c r="G12" s="23"/>
    </x:row>
    <x:row r="13">
      <x:c r="A13" s="26" t="str">
        <x:v>The model keeps £3.25bn of new day-one debt separate from reinstated Class A debt.</x:v>
      </x:c>
      <x:c r="B13" s="26"/>
      <x:c r="C13" s="26"/>
      <x:c r="D13" s="26"/>
      <x:c r="E13" s="26"/>
      <x:c r="F13" s="26"/>
      <x:c r="G13" s="26"/>
    </x:row>
    <x:row r="14">
      <x:c r="A14" s="26" t="str">
        <x:v>The model uses reported RCV of £21,893m at 30 September 2025.</x:v>
      </x:c>
      <x:c r="B14" s="26"/>
      <x:c r="C14" s="26"/>
      <x:c r="D14" s="26"/>
      <x:c r="E14" s="26"/>
      <x:c r="F14" s="26"/>
      <x:c r="G14" s="26"/>
    </x:row>
    <x:row r="15">
      <x:c r="A15" s="26" t="str">
        <x:v>The leverage schedule is an illustrative RCV / debt-capacity scenario, not an integrated operating cash-flow forecast.</x:v>
      </x:c>
      <x:c r="B15" s="26"/>
      <x:c r="C15" s="26"/>
      <x:c r="D15" s="26"/>
      <x:c r="E15" s="26"/>
      <x:c r="F15" s="26"/>
      <x:c r="G15" s="26"/>
    </x:row>
    <x:row r="16">
      <x:c r="A16" s="26" t="str">
        <x:v>A 30% Class A principal write-off implies 70% nominal principal retained, not 70% economic recovery; a bond PV sensitivity is included.</x:v>
      </x:c>
      <x:c r="B16" s="26"/>
      <x:c r="C16" s="26"/>
      <x:c r="D16" s="26"/>
      <x:c r="E16" s="26"/>
      <x:c r="F16" s="26"/>
      <x:c r="G16" s="26"/>
    </x:row>
    <x:row r="17">
      <x:c r="A17" s="26" t="str">
        <x:v>For portfolio/educational research only; not investment advice.</x:v>
      </x:c>
      <x:c r="B17" s="26"/>
      <x:c r="C17" s="26"/>
      <x:c r="D17" s="26"/>
      <x:c r="E17" s="26"/>
      <x:c r="F17" s="26"/>
      <x:c r="G17" s="26"/>
    </x:row>
  </x:sheetData>
  <x:mergeCells>
    <x:mergeCell ref="A1:G1"/>
    <x:mergeCell ref="A12:G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</x:cols>
  <x:sheetData>
    <x:row r="1" ht="24" customHeight="1">
      <x:c r="A1" s="4" t="str">
        <x:v>REPORTED PRE-RESTRUCTURING INPUTS</x:v>
      </x:c>
      <x:c r="B1" s="4"/>
      <x:c r="C1" s="4"/>
      <x:c r="D1" s="4"/>
      <x:c r="E1" s="4"/>
      <x:c r="F1" s="4"/>
    </x:row>
    <x:row r="3">
      <x:c r="A3" s="11" t="str">
        <x:v>Metric</x:v>
      </x:c>
      <x:c r="B3" s="11" t="str">
        <x:v>Value</x:v>
      </x:c>
      <x:c r="C3" s="11" t="str">
        <x:v>Units</x:v>
      </x:c>
      <x:c r="D3" s="11" t="str">
        <x:v>Source / date</x:v>
      </x:c>
    </x:row>
    <x:row r="4">
      <x:c r="A4" t="str">
        <x:v>Statutory net debt</x:v>
      </x:c>
      <x:c r="B4" s="30" t="n">
        <x:v>17626.9</x:v>
      </x:c>
      <x:c r="C4" t="str">
        <x:v>£m</x:v>
      </x:c>
      <x:c r="D4" t="str">
        <x:v>30 Sep 2025 interim report</x:v>
      </x:c>
    </x:row>
    <x:row r="5">
      <x:c r="A5" t="str">
        <x:v>Covenant net debt</x:v>
      </x:c>
      <x:c r="B5" s="30" t="n">
        <x:v>19337</x:v>
      </x:c>
      <x:c r="C5" t="str">
        <x:v>£m</x:v>
      </x:c>
      <x:c r="D5" t="str">
        <x:v>30 Sep 2025 interim report</x:v>
      </x:c>
    </x:row>
    <x:row r="6">
      <x:c r="A6" t="str">
        <x:v>Covenant net debt net of TWSSI cash</x:v>
      </x:c>
      <x:c r="B6" s="30" t="n">
        <x:v>18798</x:v>
      </x:c>
      <x:c r="C6" t="str">
        <x:v>£m</x:v>
      </x:c>
      <x:c r="D6" t="str">
        <x:v>30 Sep 2025 interim report</x:v>
      </x:c>
    </x:row>
    <x:row r="7">
      <x:c r="A7" t="str">
        <x:v>Regulatory Capital Value (RCV)</x:v>
      </x:c>
      <x:c r="B7" s="30" t="n">
        <x:v>21893</x:v>
      </x:c>
      <x:c r="C7" t="str">
        <x:v>£m</x:v>
      </x:c>
      <x:c r="D7" t="str">
        <x:v>30 Sep 2025 interim report</x:v>
      </x:c>
    </x:row>
    <x:row r="8">
      <x:c r="A8" t="str">
        <x:v>Senior gearing ex TWSSI cash</x:v>
      </x:c>
      <x:c r="B8" s="32" t="n">
        <x:v>0.883</x:v>
      </x:c>
      <x:c r="C8" t="str">
        <x:v>%</x:v>
      </x:c>
      <x:c r="D8" t="str">
        <x:v>30 Sep 2025 interim report</x:v>
      </x:c>
    </x:row>
    <x:row r="9">
      <x:c r="A9" t="str">
        <x:v>Senior gearing net of TWSSI cash</x:v>
      </x:c>
      <x:c r="B9" s="32" t="n">
        <x:v>0.859</x:v>
      </x:c>
      <x:c r="C9" t="str">
        <x:v>%</x:v>
      </x:c>
      <x:c r="D9" t="str">
        <x:v>30 Sep 2025 interim report</x:v>
      </x:c>
    </x:row>
    <x:row r="10">
      <x:c r="A10" t="str">
        <x:v>Liquidity</x:v>
      </x:c>
      <x:c r="B10" s="30" t="n">
        <x:v>861.7</x:v>
      </x:c>
      <x:c r="C10" t="str">
        <x:v>£m</x:v>
      </x:c>
      <x:c r="D10" t="str">
        <x:v>30 Sep 2025 interim report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</x:cols>
  <x:sheetData>
    <x:row r="1" ht="24" customHeight="1">
      <x:c r="A1" s="4" t="str">
        <x:v>L&amp;VW PROPOSAL - 16 MARCH 2026</x:v>
      </x:c>
      <x:c r="B1" s="4"/>
      <x:c r="C1" s="4"/>
      <x:c r="D1" s="4"/>
      <x:c r="E1" s="4"/>
      <x:c r="F1" s="4"/>
    </x:row>
    <x:row r="3">
      <x:c r="A3" s="11" t="str">
        <x:v>Term</x:v>
      </x:c>
      <x:c r="B3" s="11" t="str">
        <x:v>Value</x:v>
      </x:c>
      <x:c r="C3" s="11" t="str">
        <x:v>Interpretation</x:v>
      </x:c>
    </x:row>
    <x:row r="4">
      <x:c r="A4" t="str">
        <x:v>New equity (£m)</x:v>
      </x:c>
      <x:c r="B4" s="30" t="n">
        <x:v>3350</x:v>
      </x:c>
      <x:c r="C4" s="26" t="str">
        <x:v>Fresh equity proposed</x:v>
      </x:c>
    </x:row>
    <x:row r="5">
      <x:c r="A5" t="str">
        <x:v>New day-one debt (£m)</x:v>
      </x:c>
      <x:c r="B5" s="30" t="n">
        <x:v>3250</x:v>
      </x:c>
      <x:c r="C5" s="26" t="str">
        <x:v>New debt at day 1 - not total post-restructuring debt</x:v>
      </x:c>
    </x:row>
    <x:row r="6">
      <x:c r="A6" t="str">
        <x:v>Committed undrawn debt (£m)</x:v>
      </x:c>
      <x:c r="B6" s="30" t="n">
        <x:v>3300</x:v>
      </x:c>
      <x:c r="C6" s="26" t="str">
        <x:v>Committed but undrawn liquidity</x:v>
      </x:c>
    </x:row>
    <x:row r="7">
      <x:c r="A7" t="str">
        <x:v>Total potential new debt (£m)</x:v>
      </x:c>
      <x:c r="B7" s="36" t="n">
        <x:f>SUM(B5:B6)</x:f>
        <x:v>6550</x:v>
      </x:c>
      <x:c r="C7" s="26" t="str">
        <x:v>New debt capacity in proposal</x:v>
      </x:c>
    </x:row>
    <x:row r="8">
      <x:c r="A8" t="str">
        <x:v>Class A principal write-off</x:v>
      </x:c>
      <x:c r="B8" s="32" t="n">
        <x:v>0.3</x:v>
      </x:c>
      <x:c r="C8" s="26" t="str">
        <x:v>70% nominal Class A principal retained before considering coupon/maturity/discount-rate economics</x:v>
      </x:c>
    </x:row>
    <x:row r="9">
      <x:c r="A9" t="str">
        <x:v>Class B / subordinated / existing equity write-off</x:v>
      </x:c>
      <x:c r="B9" s="32" t="n">
        <x:v>1</x:v>
      </x:c>
      <x:c r="C9" s="26" t="str">
        <x:v>Full impairment proposed</x:v>
      </x:c>
    </x:row>
    <x:row r="10">
      <x:c r="A10" t="str">
        <x:v>Day-one net leverage</x:v>
      </x:c>
      <x:c r="B10" s="32" t="n">
        <x:v>0.52</x:v>
      </x:c>
      <x:c r="C10" s="26" t="str">
        <x:v>Proposal target</x:v>
      </x:c>
    </x:row>
    <x:row r="11">
      <x:c r="A11" t="str">
        <x:v>End-AMP stabilised net leverage</x:v>
      </x:c>
      <x:c r="B11" s="32" t="n">
        <x:v>0.6</x:v>
      </x:c>
      <x:c r="C11" s="26" t="str">
        <x:v>Rising and stabilising c.60% by end of AMP8</x:v>
      </x:c>
    </x:row>
    <x:row r="12">
      <x:c r="A12" t="str">
        <x:v>Long-term net gearing target</x:v>
      </x:c>
      <x:c r="B12" s="32" t="n">
        <x:v>0.65</x:v>
      </x:c>
      <x:c r="C12" s="26" t="str">
        <x:v>Target 65% or less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</x:cols>
  <x:sheetData>
    <x:row r="1" ht="24" customHeight="1">
      <x:c r="A1" s="4" t="str">
        <x:v>ILLUSTRATIVE RCV / DEBT-CAPACITY SCENARIO</x:v>
      </x:c>
      <x:c r="B1" s="4"/>
      <x:c r="C1" s="4"/>
      <x:c r="D1" s="4"/>
      <x:c r="E1" s="4"/>
      <x:c r="F1" s="4"/>
      <x:c r="G1" s="4"/>
    </x:row>
    <x:row r="3">
      <x:c r="A3" s="11" t="str">
        <x:v>Metric</x:v>
      </x:c>
      <x:c r="B3" s="11" t="str">
        <x:v>30 Sep 2025A</x:v>
      </x:c>
      <x:c r="C3" s="11" t="str">
        <x:v>FY27E</x:v>
      </x:c>
      <x:c r="D3" s="11" t="str">
        <x:v>FY28E</x:v>
      </x:c>
      <x:c r="E3" s="11" t="str">
        <x:v>FY29E</x:v>
      </x:c>
      <x:c r="F3" s="11" t="str">
        <x:v>FY30E</x:v>
      </x:c>
    </x:row>
    <x:row r="4">
      <x:c r="A4" t="str">
        <x:v>RCV (£m)</x:v>
      </x:c>
      <x:c r="B4" s="18" t="n">
        <x:f>Inputs!B7</x:f>
        <x:v>21893</x:v>
      </x:c>
      <x:c r="C4" s="18" t="n">
        <x:f>B4*(1+C5)</x:f>
        <x:v>22987.65</x:v>
      </x:c>
      <x:c r="D4" s="18" t="n">
        <x:f>C4*(1+D5)</x:f>
        <x:v>24137.0325</x:v>
      </x:c>
      <x:c r="E4" s="18" t="n">
        <x:f>D4*(1+E5)</x:f>
        <x:v>25343.884125</x:v>
      </x:c>
      <x:c r="F4" s="18" t="n">
        <x:f>E4*(1+F5)</x:f>
        <x:v>26611.078331250003</x:v>
      </x:c>
    </x:row>
    <x:row r="5">
      <x:c r="A5" t="str">
        <x:v>RCV growth</x:v>
      </x:c>
      <x:c r="B5"/>
      <x:c r="C5" s="42" t="n">
        <x:v>0.05</x:v>
      </x:c>
      <x:c r="D5" s="42" t="n">
        <x:v>0.05</x:v>
      </x:c>
      <x:c r="E5" s="42" t="n">
        <x:v>0.05</x:v>
      </x:c>
      <x:c r="F5" s="42" t="n">
        <x:v>0.05</x:v>
      </x:c>
    </x:row>
    <x:row r="6">
      <x:c r="A6" t="str">
        <x:v>Target gearing</x:v>
      </x:c>
      <x:c r="B6"/>
      <x:c r="C6" s="42" t="n">
        <x:v>0.54</x:v>
      </x:c>
      <x:c r="D6" s="42" t="n">
        <x:v>0.56</x:v>
      </x:c>
      <x:c r="E6" s="42" t="n">
        <x:v>0.58</x:v>
      </x:c>
      <x:c r="F6" s="42" t="n">
        <x:v>0.6</x:v>
      </x:c>
    </x:row>
    <x:row r="7">
      <x:c r="A7" t="str">
        <x:v>Debt capacity (£m)</x:v>
      </x:c>
      <x:c r="C7" s="36" t="n">
        <x:f>C4*C6</x:f>
        <x:v>12413.331000000002</x:v>
      </x:c>
      <x:c r="D7" s="36" t="n">
        <x:f>D4*D6</x:f>
        <x:v>13516.738200000002</x:v>
      </x:c>
      <x:c r="E7" s="36" t="n">
        <x:f>E4*E6</x:f>
        <x:v>14699.452792499998</x:v>
      </x:c>
      <x:c r="F7" s="36" t="n">
        <x:f>F4*F6</x:f>
        <x:v>15966.64699875</x:v>
      </x:c>
    </x:row>
    <x:row r="8">
      <x:c r="A8" t="str">
        <x:v>New day-one debt (£m)</x:v>
      </x:c>
      <x:c r="B8" s="16" t="n">
        <x:f>Proposal!B5</x:f>
        <x:v>3250</x:v>
      </x:c>
      <x:c r="C8" s="36" t="n">
        <x:f>$B$8</x:f>
        <x:v>3250</x:v>
      </x:c>
      <x:c r="D8" s="36" t="n">
        <x:f>$B$8</x:f>
        <x:v>3250</x:v>
      </x:c>
      <x:c r="E8" s="36" t="n">
        <x:f>$B$8</x:f>
        <x:v>3250</x:v>
      </x:c>
      <x:c r="F8" s="36" t="n">
        <x:f>$B$8</x:f>
        <x:v>3250</x:v>
      </x:c>
    </x:row>
    <x:row r="9">
      <x:c r="A9" t="str">
        <x:v>Residual capacity vs new debt (£m)</x:v>
      </x:c>
      <x:c r="C9" s="36" t="n">
        <x:f>C7-C8</x:f>
        <x:v>9163.331000000002</x:v>
      </x:c>
      <x:c r="D9" s="36" t="n">
        <x:f>D7-D8</x:f>
        <x:v>10266.738200000002</x:v>
      </x:c>
      <x:c r="E9" s="36" t="n">
        <x:f>E7-E8</x:f>
        <x:v>11449.452792499998</x:v>
      </x:c>
      <x:c r="F9" s="36" t="n">
        <x:f>F7-F8</x:f>
        <x:v>12716.64699875</x:v>
      </x:c>
    </x:row>
    <x:row r="11">
      <x:c r="A11" s="26" t="str">
        <x:v>Interpretation</x:v>
      </x:c>
      <x:c r="B11" s="26"/>
      <x:c r="C11" s="26"/>
      <x:c r="D11" s="26"/>
      <x:c r="E11" s="26"/>
      <x:c r="F11" s="26"/>
    </x:row>
    <x:row r="12">
      <x:c r="A12" s="26" t="str">
        <x:v>This schedule prescribes RCV growth and gearing, then back-solves a debt-capacity envelope. It is not a forecast of actual post-restructuring debt, because actual debt depends on reinstated Class A terms, operating cash flow, capex, drawdowns and cash.</x:v>
      </x:c>
      <x:c r="B12" s="26"/>
      <x:c r="C12" s="26"/>
      <x:c r="D12" s="26"/>
      <x:c r="E12" s="26"/>
      <x:c r="F12" s="26"/>
    </x:row>
    <x:row r="13">
      <x:c r="A13" s="26" t="str">
        <x:v>With 5% annual RCV growth for four periods and 60% gearing, FY30 debt capacity is approximately £15.97bn.</x:v>
      </x:c>
      <x:c r="B13" s="26"/>
      <x:c r="C13" s="26"/>
      <x:c r="D13" s="26"/>
      <x:c r="E13" s="26"/>
      <x:c r="F13" s="26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</x:cols>
  <x:sheetData>
    <x:row r="1" ht="24" customHeight="1">
      <x:c r="A1" s="4" t="str">
        <x:v>CLASS A NOMINAL &amp; ECONOMIC RECOVERY SENSITIVITY</x:v>
      </x:c>
      <x:c r="B1" s="4"/>
      <x:c r="C1" s="4"/>
      <x:c r="D1" s="4"/>
      <x:c r="E1" s="4"/>
      <x:c r="F1" s="4"/>
      <x:c r="G1" s="4"/>
    </x:row>
    <x:row r="3">
      <x:c r="A3" s="11" t="str">
        <x:v>Assumption</x:v>
      </x:c>
      <x:c r="B3" s="11" t="str">
        <x:v>Value</x:v>
      </x:c>
      <x:c r="C3" s="11" t="str">
        <x:v>Status</x:v>
      </x:c>
    </x:row>
    <x:row r="4">
      <x:c r="A4" t="str">
        <x:v>Illustrative Class A claim (£m)</x:v>
      </x:c>
      <x:c r="B4" s="44" t="n">
        <x:v>15000</x:v>
      </x:c>
      <x:c r="C4" t="str">
        <x:v>Illustrative claim amount; editable</x:v>
      </x:c>
    </x:row>
    <x:row r="5">
      <x:c r="A5" t="str">
        <x:v>Principal write-off</x:v>
      </x:c>
      <x:c r="B5" s="20" t="n">
        <x:f>Proposal!B8</x:f>
        <x:v>0.3</x:v>
      </x:c>
      <x:c r="C5" t="str">
        <x:v>Proposal term</x:v>
      </x:c>
    </x:row>
    <x:row r="6">
      <x:c r="A6" t="str">
        <x:v>Retained principal (£m)</x:v>
      </x:c>
      <x:c r="B6" s="36" t="n">
        <x:f>B4*(1-B5)</x:f>
        <x:v>10500</x:v>
      </x:c>
      <x:c r="C6" t="str">
        <x:v>Nominal retained principal</x:v>
      </x:c>
    </x:row>
    <x:row r="7">
      <x:c r="A7" t="str">
        <x:v>Illustrative coupon on reinstated debt</x:v>
      </x:c>
      <x:c r="B7" s="42" t="n">
        <x:v>0.06</x:v>
      </x:c>
      <x:c r="C7" t="str">
        <x:v>Illustrative only</x:v>
      </x:c>
    </x:row>
    <x:row r="8">
      <x:c r="A8" t="str">
        <x:v>Illustrative maturity (years)</x:v>
      </x:c>
      <x:c r="B8" s="39" t="n">
        <x:v>10</x:v>
      </x:c>
      <x:c r="C8" t="str">
        <x:v>Illustrative only</x:v>
      </x:c>
    </x:row>
    <x:row r="9">
      <x:c r="A9" t="str">
        <x:v>Illustrative discount rate</x:v>
      </x:c>
      <x:c r="B9" s="39" t="n">
        <x:v>0.08</x:v>
      </x:c>
      <x:c r="C9" t="str">
        <x:v>Illustrative only</x:v>
      </x:c>
    </x:row>
    <x:row r="12" ht="19" customHeight="1">
      <x:c r="A12" s="23" t="str">
        <x:v>Economic value calculation</x:v>
      </x:c>
      <x:c r="B12" s="23"/>
      <x:c r="C12" s="23"/>
    </x:row>
    <x:row r="13">
      <x:c r="A13" t="str">
        <x:v>PV of coupons (£m)</x:v>
      </x:c>
      <x:c r="B13" s="36" t="n">
        <x:f>B6*B7*(1-(1+B9)^(-B8))/B9</x:f>
        <x:v>4227.351281333113</x:v>
      </x:c>
    </x:row>
    <x:row r="14">
      <x:c r="A14" t="str">
        <x:v>PV of principal (£m)</x:v>
      </x:c>
      <x:c r="B14" s="36" t="n">
        <x:f>B6/(1+B9)^B8</x:f>
        <x:v>4863.531624889185</x:v>
      </x:c>
    </x:row>
    <x:row r="15">
      <x:c r="A15" t="str">
        <x:v>Economic value (£m)</x:v>
      </x:c>
      <x:c r="B15" s="36" t="n">
        <x:f>SUM(B13:B14)</x:f>
        <x:v>9090.882906222298</x:v>
      </x:c>
    </x:row>
    <x:row r="16">
      <x:c r="A16" t="str">
        <x:v>Economic recovery % of original claim</x:v>
      </x:c>
      <x:c r="B16" s="46" t="n">
        <x:f>B15/B4</x:f>
        <x:v>0.6060588604148198</x:v>
      </x:c>
    </x:row>
    <x:row r="19" ht="19" customHeight="1">
      <x:c r="A19" s="23" t="str">
        <x:v>Discount-rate sensitivity - economic recovery</x:v>
      </x:c>
      <x:c r="B19" s="23"/>
      <x:c r="C19" s="23"/>
      <x:c r="D19" s="23"/>
      <x:c r="E19" s="23"/>
      <x:c r="F19" s="23"/>
    </x:row>
    <x:row r="20">
      <x:c r="A20" s="11" t="str">
        <x:v>Maturity \ discount rate</x:v>
      </x:c>
      <x:c r="B20" s="52" t="n">
        <x:v>0.05</x:v>
      </x:c>
      <x:c r="C20" s="52" t="n">
        <x:v>0.06</x:v>
      </x:c>
      <x:c r="D20" s="52" t="n">
        <x:v>0.07</x:v>
      </x:c>
      <x:c r="E20" s="52" t="n">
        <x:v>0.08</x:v>
      </x:c>
      <x:c r="F20" s="52" t="n">
        <x:v>0.09</x:v>
      </x:c>
    </x:row>
    <x:row r="21">
      <x:c r="A21" s="39" t="n">
        <x:v>5</x:v>
      </x:c>
      <x:c r="B21" s="46" t="n">
        <x:f>(($B$6*$B$7*(1-(1+B$20)^(-$A21))/B$20)+($B$6/(1+B$20)^$A21))/$B$4</x:f>
        <x:v>0.7303063366944157</x:v>
      </x:c>
      <x:c r="C21" s="46" t="n">
        <x:f>(($B$6*$B$7*(1-(1+C$20)^(-$A21))/C$20)+($B$6/(1+C$20)^$A21))/$B$4</x:f>
        <x:v>0.7</x:v>
      </x:c>
      <x:c r="D21" s="46" t="n">
        <x:f>(($B$6*$B$7*(1-(1+D$20)^(-$A21))/D$20)+($B$6/(1+D$20)^$A21))/$B$4</x:f>
        <x:v>0.6712986179483669</x:v>
      </x:c>
      <x:c r="E21" s="46" t="n">
        <x:f>(($B$6*$B$7*(1-(1+E$20)^(-$A21))/E$20)+($B$6/(1+E$20)^$A21))/$B$4</x:f>
        <x:v>0.6441020594809068</x:v>
      </x:c>
      <x:c r="F21" s="46" t="n">
        <x:f>(($B$6*$B$7*(1-(1+F$20)^(-$A21))/F$20)+($B$6/(1+F$20)^$A21))/$B$4</x:f>
        <x:v>0.6183173234696139</x:v>
      </x:c>
    </x:row>
    <x:row r="22">
      <x:c r="A22" s="39" t="n">
        <x:v>7</x:v>
      </x:c>
      <x:c r="B22" s="46" t="n">
        <x:f>(($B$6*$B$7*(1-(1+B$20)^(-$A22))/B$20)+($B$6/(1+B$20)^$A22))/$B$4</x:f>
        <x:v>0.740504613781783</x:v>
      </x:c>
      <x:c r="C22" s="46" t="n">
        <x:f>(($B$6*$B$7*(1-(1+C$20)^(-$A22))/C$20)+($B$6/(1+C$20)^$A22))/$B$4</x:f>
        <x:v>0.7</x:v>
      </x:c>
      <x:c r="D22" s="46" t="n">
        <x:f>(($B$6*$B$7*(1-(1+D$20)^(-$A22))/D$20)+($B$6/(1+D$20)^$A22))/$B$4</x:f>
        <x:v>0.6622749741884593</x:v>
      </x:c>
      <x:c r="E22" s="46" t="n">
        <x:f>(($B$6*$B$7*(1-(1+E$20)^(-$A22))/E$20)+($B$6/(1+E$20)^$A22))/$B$4</x:f>
        <x:v>0.6271108191708734</x:v>
      </x:c>
      <x:c r="F22" s="46" t="n">
        <x:f>(($B$6*$B$7*(1-(1+F$20)^(-$A22))/F$20)+($B$6/(1+F$20)^$A22))/$B$4</x:f>
        <x:v>0.5943079904634407</x:v>
      </x:c>
    </x:row>
    <x:row r="23">
      <x:c r="A23" s="39" t="n">
        <x:v>10</x:v>
      </x:c>
      <x:c r="B23" s="46" t="n">
        <x:f>(($B$6*$B$7*(1-(1+B$20)^(-$A23))/B$20)+($B$6/(1+B$20)^$A23))/$B$4</x:f>
        <x:v>0.7540521445042939</x:v>
      </x:c>
      <x:c r="C23" s="46" t="n">
        <x:f>(($B$6*$B$7*(1-(1+C$20)^(-$A23))/C$20)+($B$6/(1+C$20)^$A23))/$B$4</x:f>
        <x:v>0.7</x:v>
      </x:c>
      <x:c r="D23" s="46" t="n">
        <x:f>(($B$6*$B$7*(1-(1+D$20)^(-$A23))/D$20)+($B$6/(1+D$20)^$A23))/$B$4</x:f>
        <x:v>0.650834929213472</x:v>
      </x:c>
      <x:c r="E23" s="46" t="n">
        <x:f>(($B$6*$B$7*(1-(1+E$20)^(-$A23))/E$20)+($B$6/(1+E$20)^$A23))/$B$4</x:f>
        <x:v>0.6060588604148198</x:v>
      </x:c>
      <x:c r="F23" s="46" t="n">
        <x:f>(($B$6*$B$7*(1-(1+F$20)^(-$A23))/F$20)+($B$6/(1+F$20)^$A23))/$B$4</x:f>
        <x:v>0.5652291882756607</x:v>
      </x:c>
    </x:row>
    <x:row r="24">
      <x:c r="A24" s="39" t="n">
        <x:v>12</x:v>
      </x:c>
      <x:c r="B24" s="46" t="n">
        <x:f>(($B$6*$B$7*(1-(1+B$20)^(-$A24))/B$20)+($B$6/(1+B$20)^$A24))/$B$4</x:f>
        <x:v>0.7620427614551418</x:v>
      </x:c>
      <x:c r="C24" s="46" t="n">
        <x:f>(($B$6*$B$7*(1-(1+C$20)^(-$A24))/C$20)+($B$6/(1+C$20)^$A24))/$B$4</x:f>
        <x:v>0.7</x:v>
      </x:c>
      <x:c r="D24" s="46" t="n">
        <x:f>(($B$6*$B$7*(1-(1+D$20)^(-$A24))/D$20)+($B$6/(1+D$20)^$A24))/$B$4</x:f>
        <x:v>0.6444011959240736</x:v>
      </x:c>
      <x:c r="E24" s="46" t="n">
        <x:f>(($B$6*$B$7*(1-(1+E$20)^(-$A24))/E$20)+($B$6/(1+E$20)^$A24))/$B$4</x:f>
        <x:v>0.5944949077630485</x:v>
      </x:c>
      <x:c r="F24" s="46" t="n">
        <x:f>(($B$6*$B$7*(1-(1+F$20)^(-$A24))/F$20)+($B$6/(1+F$20)^$A24))/$B$4</x:f>
        <x:v>0.54962476919086</x:v>
      </x:c>
    </x:row>
    <x:row r="25">
      <x:c r="A25" s="39" t="n">
        <x:v>15</x:v>
      </x:c>
      <x:c r="B25" s="46" t="n">
        <x:f>(($B$6*$B$7*(1-(1+B$20)^(-$A25))/B$20)+($B$6/(1+B$20)^$A25))/$B$4</x:f>
        <x:v>0.7726576062672643</x:v>
      </x:c>
      <x:c r="C25" s="46" t="n">
        <x:f>(($B$6*$B$7*(1-(1+C$20)^(-$A25))/C$20)+($B$6/(1+C$20)^$A25))/$B$4</x:f>
        <x:v>0.6999999999999998</x:v>
      </x:c>
      <x:c r="D25" s="46" t="n">
        <x:f>(($B$6*$B$7*(1-(1+D$20)^(-$A25))/D$20)+($B$6/(1+D$20)^$A25))/$B$4</x:f>
        <x:v>0.636244601964236</x:v>
      </x:c>
      <x:c r="E25" s="46" t="n">
        <x:f>(($B$6*$B$7*(1-(1+E$20)^(-$A25))/E$20)+($B$6/(1+E$20)^$A25))/$B$4</x:f>
        <x:v>0.5801672983690308</x:v>
      </x:c>
      <x:c r="F25" s="46" t="n">
        <x:f>(($B$6*$B$7*(1-(1+F$20)^(-$A25))/F$20)+($B$6/(1+F$20)^$A25))/$B$4</x:f>
        <x:v>0.5307255429730608</x:v>
      </x:c>
    </x:row>
  </x:sheetData>
  <x:mergeCells>
    <x:mergeCell ref="A1:G1"/>
    <x:mergeCell ref="A12:C12"/>
    <x:mergeCell ref="A19:F1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20" hidden="0" customWidth="1"/>
    <x:col min="5" max="5" width="20" hidden="0" customWidth="1"/>
    <x:col min="6" max="6" width="20" hidden="0" customWidth="1"/>
    <x:col min="7" max="7" width="18" hidden="0" customWidth="1"/>
  </x:cols>
  <x:sheetData>
    <x:row r="1" ht="24" customHeight="1">
      <x:c r="A1" s="4" t="str">
        <x:v>PRIMARY SOURCES &amp; MODEL NOTES</x:v>
      </x:c>
      <x:c r="B1" s="4"/>
      <x:c r="C1" s="4"/>
      <x:c r="D1" s="4"/>
      <x:c r="E1" s="4"/>
      <x:c r="F1" s="4"/>
      <x:c r="G1" s="4"/>
    </x:row>
    <x:row r="3">
      <x:c r="A3" s="11" t="str">
        <x:v>Area</x:v>
      </x:c>
      <x:c r="B3" s="11" t="str">
        <x:v>Source</x:v>
      </x:c>
      <x:c r="C3" s="11" t="str">
        <x:v>URL</x:v>
      </x:c>
      <x:c r="D3" s="11" t="str">
        <x:v>Use</x:v>
      </x:c>
    </x:row>
    <x:row r="4">
      <x:c r="A4" s="26" t="str">
        <x:v>Proposal</x:v>
      </x:c>
      <x:c r="B4" s="26" t="str">
        <x:v>Thames Water recapitalisation update, 16 Mar 2026</x:v>
      </x:c>
      <x:c r="C4" s="26" t="str">
        <x:v>https://www.thameswater.co.uk/news/2026/mar/recapitalisation-update-press-speculation-on-london-valley-water-s-proposal</x:v>
      </x:c>
      <x:c r="D4" s="26" t="str">
        <x:v>New equity/debt, haircuts, 52% day-1 leverage, c.60% end-AMP, ≤65% long-term</x:v>
      </x:c>
    </x:row>
    <x:row r="5">
      <x:c r="A5" s="26" t="str">
        <x:v>Pre-restructuring financials</x:v>
      </x:c>
      <x:c r="B5" s="26" t="str">
        <x:v>Thames Water Interim Report 2025/26</x:v>
      </x:c>
      <x:c r="C5" s="26" t="str">
        <x:v>https://www.thameswater.co.uk/news/2025/dec/thames-water-half-year-results-202526</x:v>
      </x:c>
      <x:c r="D5" s="26" t="str">
        <x:v>Statutory/covenant net debt, RCV, gearing and liquidity at 30 Sep 2025</x:v>
      </x:c>
    </x:row>
    <x:row r="6">
      <x:c r="A6" s="26" t="str">
        <x:v>RCV scenario</x:v>
      </x:c>
      <x:c r="B6" s="26" t="str">
        <x:v>Model assumption</x:v>
      </x:c>
      <x:c r="C6" s="26" t="str">
        <x:v>Internal - editable yellow cells</x:v>
      </x:c>
      <x:c r="D6" s="26" t="str">
        <x:v>5% annual RCV growth and prescribed gearing path are illustrative</x:v>
      </x:c>
    </x:row>
    <x:row r="7">
      <x:c r="A7" s="26" t="str">
        <x:v>Recovery sensitivity</x:v>
      </x:c>
      <x:c r="B7" s="26" t="str">
        <x:v>Model assumption</x:v>
      </x:c>
      <x:c r="C7" s="26" t="str">
        <x:v>Internal - editable yellow cells</x:v>
      </x:c>
      <x:c r="D7" s="26" t="str">
        <x:v>Coupon, maturity and discount rate illustrate why retained principal is not economic recovery</x:v>
      </x:c>
    </x:row>
  </x:sheetData>
  <x:mergeCells>
    <x:mergeCell ref="A1:G1"/>
  </x:mergeCells>
  <x:pageMargins left="0.7" right="0.7" top="0.75" bottom="0.75" header="0.3" footer="0.3"/>
</x:worksheet>
</file>